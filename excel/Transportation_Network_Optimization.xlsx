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G:\Project\Transportation Network Optimization\excel\"/>
    </mc:Choice>
  </mc:AlternateContent>
  <xr:revisionPtr revIDLastSave="0" documentId="8_{E8A3F6E8-212B-4F65-A619-D91946687E4B}" xr6:coauthVersionLast="47" xr6:coauthVersionMax="47" xr10:uidLastSave="{00000000-0000-0000-0000-000000000000}"/>
  <bookViews>
    <workbookView xWindow="-120" yWindow="-120" windowWidth="29040" windowHeight="17520" firstSheet="1" activeTab="1" xr2:uid="{9A249AA3-3796-4BA7-A079-6AEE79D1BBB2}"/>
  </bookViews>
  <sheets>
    <sheet name="Sheet5" sheetId="5" r:id="rId1"/>
    <sheet name="Shipments" sheetId="1" r:id="rId2"/>
    <sheet name="Carrier Rates" sheetId="2" r:id="rId3"/>
    <sheet name="Analysis" sheetId="3" r:id="rId4"/>
    <sheet name="Dashboard" sheetId="4" r:id="rId5"/>
    <sheet name="Requirements &amp; Solution Design" sheetId="7" r:id="rId6"/>
    <sheet name="Data Dictionary" sheetId="8" r:id="rId7"/>
    <sheet name="Implementation &amp; Handoff" sheetId="9" r:id="rId8"/>
    <sheet name="README" sheetId="10" r:id="rId9"/>
  </sheets>
  <calcPr calcId="191029"/>
  <pivotCaches>
    <pivotCache cacheId="4"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34" i="4" l="1"/>
  <c r="L35" i="4"/>
  <c r="L33" i="4"/>
  <c r="K34" i="4"/>
  <c r="K35" i="4"/>
  <c r="K33" i="4"/>
  <c r="G18" i="4"/>
  <c r="G19" i="4"/>
  <c r="G20" i="4"/>
  <c r="G21" i="4"/>
  <c r="G22" i="4"/>
  <c r="G17" i="4"/>
  <c r="F18" i="4"/>
  <c r="F19" i="4"/>
  <c r="F20" i="4"/>
  <c r="F21" i="4"/>
  <c r="F22" i="4"/>
  <c r="F17" i="4"/>
  <c r="D18" i="4"/>
  <c r="D19" i="4"/>
  <c r="D20" i="4"/>
  <c r="D21" i="4"/>
  <c r="D22" i="4"/>
  <c r="D17" i="4"/>
  <c r="C18" i="4"/>
  <c r="C19" i="4"/>
  <c r="C20" i="4"/>
  <c r="C21" i="4"/>
  <c r="C22" i="4"/>
  <c r="C17" i="4"/>
  <c r="B18" i="4"/>
  <c r="B19" i="4"/>
  <c r="B20" i="4"/>
  <c r="B21" i="4"/>
  <c r="B22" i="4"/>
  <c r="B17" i="4"/>
  <c r="F12" i="4"/>
  <c r="B12" i="4"/>
  <c r="J7" i="4"/>
  <c r="F7" i="4"/>
  <c r="B7" i="4"/>
  <c r="C47" i="3"/>
  <c r="C48" i="3"/>
  <c r="C46" i="3"/>
  <c r="B4" i="3"/>
  <c r="C11" i="3"/>
  <c r="B20" i="3" s="1"/>
  <c r="C12" i="3"/>
  <c r="B30" i="3" s="1"/>
  <c r="C13" i="3"/>
  <c r="B22" i="3" s="1"/>
  <c r="C14" i="3"/>
  <c r="B23" i="3" s="1"/>
  <c r="C15" i="3"/>
  <c r="B33" i="3" s="1"/>
  <c r="C10" i="3"/>
  <c r="B19" i="3" s="1"/>
  <c r="B11" i="3"/>
  <c r="E11" i="3" s="1"/>
  <c r="B12" i="3"/>
  <c r="D12" i="3" s="1"/>
  <c r="B13" i="3"/>
  <c r="E13" i="3" s="1"/>
  <c r="B14" i="3"/>
  <c r="F14" i="3" s="1"/>
  <c r="B15" i="3"/>
  <c r="E15" i="3" s="1"/>
  <c r="B10" i="3"/>
  <c r="F10" i="3" s="1"/>
  <c r="B6" i="3"/>
  <c r="B5" i="3"/>
  <c r="B2" i="3"/>
  <c r="O3" i="1"/>
  <c r="O4" i="1"/>
  <c r="O5" i="1"/>
  <c r="O6" i="1"/>
  <c r="O7" i="1"/>
  <c r="O8" i="1"/>
  <c r="O9" i="1"/>
  <c r="O10" i="1"/>
  <c r="O11" i="1"/>
  <c r="O12" i="1"/>
  <c r="O13" i="1"/>
  <c r="O14" i="1"/>
  <c r="O15" i="1"/>
  <c r="O16" i="1"/>
  <c r="O17" i="1"/>
  <c r="O18" i="1"/>
  <c r="O19" i="1"/>
  <c r="O20" i="1"/>
  <c r="O21" i="1"/>
  <c r="O2" i="1"/>
  <c r="N3" i="1"/>
  <c r="N4" i="1"/>
  <c r="N5" i="1"/>
  <c r="N6" i="1"/>
  <c r="N7" i="1"/>
  <c r="N8" i="1"/>
  <c r="N9" i="1"/>
  <c r="N10" i="1"/>
  <c r="N11" i="1"/>
  <c r="N12" i="1"/>
  <c r="N13" i="1"/>
  <c r="N14" i="1"/>
  <c r="N15" i="1"/>
  <c r="N16" i="1"/>
  <c r="N17" i="1"/>
  <c r="N18" i="1"/>
  <c r="N19" i="1"/>
  <c r="N20" i="1"/>
  <c r="N21" i="1"/>
  <c r="N2" i="1"/>
  <c r="M3" i="1"/>
  <c r="M4" i="1"/>
  <c r="M5" i="1"/>
  <c r="M6" i="1"/>
  <c r="M7" i="1"/>
  <c r="M8" i="1"/>
  <c r="M9" i="1"/>
  <c r="M10" i="1"/>
  <c r="M11" i="1"/>
  <c r="M12" i="1"/>
  <c r="M13" i="1"/>
  <c r="M14" i="1"/>
  <c r="M15" i="1"/>
  <c r="M16" i="1"/>
  <c r="M17" i="1"/>
  <c r="M18" i="1"/>
  <c r="M19" i="1"/>
  <c r="M20" i="1"/>
  <c r="M21" i="1"/>
  <c r="M2" i="1"/>
  <c r="L3" i="1"/>
  <c r="L4" i="1"/>
  <c r="L5" i="1"/>
  <c r="L6" i="1"/>
  <c r="L7" i="1"/>
  <c r="L8" i="1"/>
  <c r="L9" i="1"/>
  <c r="L10" i="1"/>
  <c r="L11" i="1"/>
  <c r="L12" i="1"/>
  <c r="L13" i="1"/>
  <c r="L14" i="1"/>
  <c r="L15" i="1"/>
  <c r="L16" i="1"/>
  <c r="L17" i="1"/>
  <c r="L18" i="1"/>
  <c r="L19" i="1"/>
  <c r="L20" i="1"/>
  <c r="L21" i="1"/>
  <c r="L2" i="1"/>
  <c r="H3" i="2"/>
  <c r="H4" i="2"/>
  <c r="H5" i="2"/>
  <c r="H6" i="2"/>
  <c r="H2" i="2"/>
  <c r="K3" i="1"/>
  <c r="K4" i="1"/>
  <c r="K5" i="1"/>
  <c r="K6" i="1"/>
  <c r="K7" i="1"/>
  <c r="K8" i="1"/>
  <c r="K9" i="1"/>
  <c r="K10" i="1"/>
  <c r="K11" i="1"/>
  <c r="K12" i="1"/>
  <c r="K13" i="1"/>
  <c r="K14" i="1"/>
  <c r="K15" i="1"/>
  <c r="K16" i="1"/>
  <c r="K17" i="1"/>
  <c r="K18" i="1"/>
  <c r="K19" i="1"/>
  <c r="K20" i="1"/>
  <c r="K21" i="1"/>
  <c r="K2" i="1"/>
  <c r="B41" i="3" l="1"/>
  <c r="B38" i="3"/>
  <c r="B37" i="3"/>
  <c r="B40" i="3"/>
  <c r="B39" i="3"/>
  <c r="B42" i="3"/>
  <c r="B28" i="3"/>
  <c r="B32" i="3"/>
  <c r="B31" i="3"/>
  <c r="B29" i="3"/>
  <c r="B24" i="3"/>
  <c r="D10" i="3"/>
  <c r="F12" i="3"/>
  <c r="H12" i="3" s="1"/>
  <c r="C39" i="3" s="1"/>
  <c r="B21" i="3"/>
  <c r="F11" i="3"/>
  <c r="F15" i="3"/>
  <c r="D15" i="3"/>
  <c r="D14" i="3"/>
  <c r="F13" i="3"/>
  <c r="D13" i="3"/>
  <c r="D11" i="3"/>
  <c r="E10" i="3"/>
  <c r="E14" i="3"/>
  <c r="D39" i="3" l="1"/>
  <c r="E30" i="3"/>
  <c r="D30" i="3"/>
  <c r="C30" i="3"/>
  <c r="C21" i="3"/>
  <c r="D21" i="3" s="1"/>
  <c r="I12" i="3"/>
  <c r="J12" i="3" s="1"/>
  <c r="H15" i="3"/>
  <c r="C42" i="3" s="1"/>
  <c r="D42" i="3" s="1"/>
  <c r="G15" i="3"/>
  <c r="G12" i="3"/>
  <c r="G11" i="3"/>
  <c r="H11" i="3"/>
  <c r="C38" i="3" s="1"/>
  <c r="D38" i="3" s="1"/>
  <c r="H13" i="3"/>
  <c r="C40" i="3" s="1"/>
  <c r="D40" i="3" s="1"/>
  <c r="G13" i="3"/>
  <c r="H10" i="3"/>
  <c r="G10" i="3"/>
  <c r="H14" i="3"/>
  <c r="C41" i="3" s="1"/>
  <c r="D41" i="3" s="1"/>
  <c r="G14" i="3"/>
  <c r="C37" i="3" l="1"/>
  <c r="D37" i="3" s="1"/>
  <c r="B3" i="3"/>
  <c r="E29" i="3"/>
  <c r="D29" i="3"/>
  <c r="C29" i="3"/>
  <c r="E32" i="3"/>
  <c r="C32" i="3"/>
  <c r="D32" i="3"/>
  <c r="C28" i="3"/>
  <c r="E28" i="3"/>
  <c r="D28" i="3"/>
  <c r="E31" i="3"/>
  <c r="D31" i="3"/>
  <c r="C31" i="3"/>
  <c r="C33" i="3"/>
  <c r="E33" i="3"/>
  <c r="D33" i="3"/>
  <c r="F21" i="3"/>
  <c r="E21" i="3"/>
  <c r="C22" i="3"/>
  <c r="D22" i="3" s="1"/>
  <c r="I13" i="3"/>
  <c r="J13" i="3" s="1"/>
  <c r="C19" i="3"/>
  <c r="D19" i="3" s="1"/>
  <c r="I10" i="3"/>
  <c r="J10" i="3" s="1"/>
  <c r="C23" i="3"/>
  <c r="D23" i="3" s="1"/>
  <c r="I14" i="3"/>
  <c r="J14" i="3" s="1"/>
  <c r="C24" i="3"/>
  <c r="D24" i="3" s="1"/>
  <c r="I15" i="3"/>
  <c r="J15" i="3" s="1"/>
  <c r="C20" i="3"/>
  <c r="D20" i="3" s="1"/>
  <c r="I11" i="3"/>
  <c r="J11" i="3" s="1"/>
  <c r="F20" i="3" l="1"/>
  <c r="E20" i="3"/>
  <c r="F24" i="3"/>
  <c r="E24" i="3"/>
  <c r="F23" i="3"/>
  <c r="E23" i="3"/>
  <c r="E19" i="3"/>
  <c r="F19" i="3"/>
  <c r="F22" i="3"/>
  <c r="E22" i="3"/>
</calcChain>
</file>

<file path=xl/sharedStrings.xml><?xml version="1.0" encoding="utf-8"?>
<sst xmlns="http://schemas.openxmlformats.org/spreadsheetml/2006/main" count="627" uniqueCount="407">
  <si>
    <t>Shipment_ID</t>
  </si>
  <si>
    <t>Origin</t>
  </si>
  <si>
    <t>Destination</t>
  </si>
  <si>
    <t>Mode</t>
  </si>
  <si>
    <t>Carrier</t>
  </si>
  <si>
    <t>Miles</t>
  </si>
  <si>
    <t>Weight_lbs</t>
  </si>
  <si>
    <t>Current_Cost</t>
  </si>
  <si>
    <t>Accessorial</t>
  </si>
  <si>
    <t>Service_Level</t>
  </si>
  <si>
    <t>S001</t>
  </si>
  <si>
    <t>Toronto</t>
  </si>
  <si>
    <t>Montreal</t>
  </si>
  <si>
    <t>LTL</t>
  </si>
  <si>
    <t>Carrier A</t>
  </si>
  <si>
    <t>S002</t>
  </si>
  <si>
    <t>Ottawa</t>
  </si>
  <si>
    <t>Carrier B</t>
  </si>
  <si>
    <t>S003</t>
  </si>
  <si>
    <t>Windsor</t>
  </si>
  <si>
    <t>FTL</t>
  </si>
  <si>
    <t>Carrier C</t>
  </si>
  <si>
    <t>S004</t>
  </si>
  <si>
    <t>London</t>
  </si>
  <si>
    <t>S005</t>
  </si>
  <si>
    <t>Quebec City</t>
  </si>
  <si>
    <t>S006</t>
  </si>
  <si>
    <t>Mississauga</t>
  </si>
  <si>
    <t>S007</t>
  </si>
  <si>
    <t>S008</t>
  </si>
  <si>
    <t>S009</t>
  </si>
  <si>
    <t>S010</t>
  </si>
  <si>
    <t>S011</t>
  </si>
  <si>
    <t>S012</t>
  </si>
  <si>
    <t>S013</t>
  </si>
  <si>
    <t>S014</t>
  </si>
  <si>
    <t>S015</t>
  </si>
  <si>
    <t>S016</t>
  </si>
  <si>
    <t>S017</t>
  </si>
  <si>
    <t>S018</t>
  </si>
  <si>
    <t>S019</t>
  </si>
  <si>
    <t>S020</t>
  </si>
  <si>
    <t>Rate_per_Mile</t>
  </si>
  <si>
    <t>Fuel_Surcharge</t>
  </si>
  <si>
    <t>Minimum_Charge</t>
  </si>
  <si>
    <t>Base_Cost</t>
  </si>
  <si>
    <t>Fuel_Cost</t>
  </si>
  <si>
    <t>Modeled_Cost</t>
  </si>
  <si>
    <t>Cost_per_Mile</t>
  </si>
  <si>
    <t>Rate_Key</t>
  </si>
  <si>
    <t>Current Transportation Spend</t>
  </si>
  <si>
    <t>Modeled Transportation Spend</t>
  </si>
  <si>
    <t>Average Service Level</t>
  </si>
  <si>
    <t>Total Shipments</t>
  </si>
  <si>
    <t>Row Labels</t>
  </si>
  <si>
    <t>Grand Total</t>
  </si>
  <si>
    <t>Column Labels</t>
  </si>
  <si>
    <t>Sum of Current_Cost</t>
  </si>
  <si>
    <t>Total Sum of Current_Cost</t>
  </si>
  <si>
    <t>Total Sum of Modeled_Cost</t>
  </si>
  <si>
    <t>Sum of Modeled_Cost</t>
  </si>
  <si>
    <t>Shipments</t>
  </si>
  <si>
    <t>Current Cost</t>
  </si>
  <si>
    <t>Carrier A Cost</t>
  </si>
  <si>
    <t>Carrier B Cost</t>
  </si>
  <si>
    <t>Carrier C Cost</t>
  </si>
  <si>
    <t>Recommended Carrier</t>
  </si>
  <si>
    <t>Optimized Cost</t>
  </si>
  <si>
    <t>Savings</t>
  </si>
  <si>
    <t>Savings %</t>
  </si>
  <si>
    <t>N/A</t>
  </si>
  <si>
    <t>Negotiated Cost</t>
  </si>
  <si>
    <t>Recommendation</t>
  </si>
  <si>
    <t>Break-even Discount</t>
  </si>
  <si>
    <t>Carrier Switch Break-Even Analysis</t>
  </si>
  <si>
    <t>Carrier Rate Sensitivity &amp; Scenario Analysis</t>
  </si>
  <si>
    <t>Transportation Network Optimization Summary</t>
  </si>
  <si>
    <t>Lane-Level Carrier Cost Analysis</t>
  </si>
  <si>
    <t>Modeled Cost Variance</t>
  </si>
  <si>
    <t>Negotiated Rate Scenario — Procurement &amp; Network Optimization</t>
  </si>
  <si>
    <t>Variance</t>
  </si>
  <si>
    <t xml:space="preserve">Variance % </t>
  </si>
  <si>
    <t>5% Rate Reduction</t>
  </si>
  <si>
    <t>10% Rate Reduction</t>
  </si>
  <si>
    <t>15% Rate Reduction</t>
  </si>
  <si>
    <r>
      <t>Scenario Assumption:</t>
    </r>
    <r>
      <rPr>
        <sz val="11"/>
        <color theme="1"/>
        <rFont val="Aptos Narrow"/>
        <family val="2"/>
        <scheme val="minor"/>
      </rPr>
      <t xml:space="preserve"> Simulated carrier rate reductions based on procurement negotiation and volume commitments; actual rates require carrier validation.</t>
    </r>
  </si>
  <si>
    <t>Service-Level Constraint Analysis</t>
  </si>
  <si>
    <t>Service Level</t>
  </si>
  <si>
    <t>Eligible?</t>
  </si>
  <si>
    <t>Minimum required service level: 95%</t>
  </si>
  <si>
    <t>Network Optimization Recommendation</t>
  </si>
  <si>
    <t>Recommendation: Maintain the current carrier network where modeled alternative rates do not provide a cost advantage. Carrier B is excluded from optimization where its 93% service level falls below the 95% minimum requirement. Prioritize procurement negotiations on lanes with the lowest break-even discount thresholds, particularly Windsor and Ottawa, while validating carrier capacity, service commitments, accessorial charges, and operational feasibility before implementation.</t>
  </si>
  <si>
    <t>TRANSPORTATION NETWORK OPTIMIZATION</t>
  </si>
  <si>
    <t>Executive Dashboard | Carrier Strategy &amp; Network Analysis</t>
  </si>
  <si>
    <t>CURRENT TRANSPORTATION SPEND</t>
  </si>
  <si>
    <t>MODELED TRANSPORTATION SPEND</t>
  </si>
  <si>
    <t>MODELED COST VARIANCE</t>
  </si>
  <si>
    <t>AVERAGE SERVICE LEVEL</t>
  </si>
  <si>
    <t>ELIGIBLE CARRIERS</t>
  </si>
  <si>
    <t>Modeled Cost</t>
  </si>
  <si>
    <t xml:space="preserve">Carrier </t>
  </si>
  <si>
    <t>Required Level</t>
  </si>
  <si>
    <r>
      <rPr>
        <b/>
        <sz val="12"/>
        <color theme="9"/>
        <rFont val="Aptos Narrow"/>
        <family val="2"/>
        <scheme val="minor"/>
      </rPr>
      <t>KEY NETWORK RECOMMENDATION</t>
    </r>
    <r>
      <rPr>
        <sz val="11"/>
        <color theme="1" tint="0.249977111117893"/>
        <rFont val="Aptos Narrow"/>
        <family val="2"/>
        <scheme val="minor"/>
      </rPr>
      <t xml:space="preserve">
Maintain the current carrier network where modeled alternatives do not provide a cost advantage. Exclude Carrier B where its 93% service level falls below the 95% requirement. Prioritize procurement negotiations on lanes with the lowest break-even discount thresholds, particularly Windsor and Ottawa.</t>
    </r>
  </si>
  <si>
    <r>
      <rPr>
        <b/>
        <sz val="12"/>
        <color theme="9"/>
        <rFont val="Aptos Narrow"/>
        <family val="2"/>
        <scheme val="minor"/>
      </rPr>
      <t>KEY INSIGHT</t>
    </r>
    <r>
      <rPr>
        <sz val="11"/>
        <color theme="1"/>
        <rFont val="Aptos Narrow"/>
        <family val="2"/>
        <scheme val="minor"/>
      </rPr>
      <t xml:space="preserve">
</t>
    </r>
    <r>
      <rPr>
        <sz val="11"/>
        <color theme="1" tint="0.249977111117893"/>
        <rFont val="Aptos Narrow"/>
        <family val="2"/>
        <scheme val="minor"/>
      </rPr>
      <t>Modeled alternative carrier costs are higher than current transportation spend on all six analyzed lanes. A carrier switch therefore does not currently create a modeled cost advantage. The optimization should focus on commercial negotiation and selective lane-level opportunities rather than broad network conversion.</t>
    </r>
  </si>
  <si>
    <r>
      <rPr>
        <b/>
        <sz val="12"/>
        <color theme="9"/>
        <rFont val="Aptos Narrow"/>
        <family val="2"/>
        <scheme val="minor"/>
      </rPr>
      <t>SCENARIO INSIGHT</t>
    </r>
    <r>
      <rPr>
        <sz val="11"/>
        <color theme="1" tint="0.249977111117893"/>
        <rFont val="Aptos Narrow"/>
        <family val="2"/>
        <scheme val="minor"/>
      </rPr>
      <t xml:space="preserve">
The modeled negotiation scenario assumes a simulated 10% reduction in alternative carrier rates based on procurement negotiation and volume commitments. Even after the reduction, modeled alternatives remain above the current network cost on the analyzed lanes, reinforcing the need for lane-specific negotiation rather than broad carrier conversion.</t>
    </r>
  </si>
  <si>
    <r>
      <rPr>
        <b/>
        <sz val="12"/>
        <color theme="9"/>
        <rFont val="Aptos Narrow"/>
        <family val="2"/>
        <scheme val="minor"/>
      </rPr>
      <t>METHODOLOGY NOTE</t>
    </r>
    <r>
      <rPr>
        <sz val="11"/>
        <color theme="1"/>
        <rFont val="Aptos Narrow"/>
        <family val="2"/>
        <scheme val="minor"/>
      </rPr>
      <t xml:space="preserve">
</t>
    </r>
    <r>
      <rPr>
        <sz val="10"/>
        <color theme="1" tint="0.249977111117893"/>
        <rFont val="Aptos Narrow"/>
        <family val="2"/>
        <scheme val="minor"/>
      </rPr>
      <t>Simulated portfolio scenario using modeled carrier rates, fuel surcharges, accessorial charges, service-level constraints, and procurement assumptions. Actual carrier rates, contracts, capacity, accessorials, and service commitments require validation before implementation.</t>
    </r>
  </si>
  <si>
    <t>TRANSPORTATION NETWORK SOLUTION DESIGN</t>
  </si>
  <si>
    <t>Client Requirements | Data Inputs | Operational Constraints | Solution Architecture</t>
  </si>
  <si>
    <t>1. CLIENT REQUIREMENTS &amp; BUSINESS OBJECTIVES</t>
  </si>
  <si>
    <t>Requirement ID</t>
  </si>
  <si>
    <t>Requirement</t>
  </si>
  <si>
    <t>Business Objective</t>
  </si>
  <si>
    <t>Priority</t>
  </si>
  <si>
    <t>Success Metric</t>
  </si>
  <si>
    <t>Solution Response</t>
  </si>
  <si>
    <t>REQ-01</t>
  </si>
  <si>
    <t>Reduce transportation cost without degrading service</t>
  </si>
  <si>
    <t>Identify economically viable lane and carrier opportunities</t>
  </si>
  <si>
    <t>High</t>
  </si>
  <si>
    <t>Cost parity or improvement</t>
  </si>
  <si>
    <t>Lane-level cost model and break-even analysis</t>
  </si>
  <si>
    <t>REQ-02</t>
  </si>
  <si>
    <t>Maintain minimum service performance</t>
  </si>
  <si>
    <t>Protect customer service and delivery reliability</t>
  </si>
  <si>
    <t>Service level ≥95%</t>
  </si>
  <si>
    <t>Carrier eligibility constraint in optimization</t>
  </si>
  <si>
    <t>REQ-03</t>
  </si>
  <si>
    <t>Evaluate carrier alternatives and negotiation opportunities</t>
  </si>
  <si>
    <t>Support procurement strategy</t>
  </si>
  <si>
    <t>Required discount by lane</t>
  </si>
  <si>
    <t>Rate sensitivity and negotiated-rate scenarios</t>
  </si>
  <si>
    <t>REQ-04</t>
  </si>
  <si>
    <t>Validate operational feasibility before implementation</t>
  </si>
  <si>
    <t>Avoid non-executable network recommendations</t>
  </si>
  <si>
    <t>Capacity and constraint sign-off</t>
  </si>
  <si>
    <t>Feasibility checklist and implementation gate</t>
  </si>
  <si>
    <t>REQ-05</t>
  </si>
  <si>
    <t>Create reusable data and reporting process</t>
  </si>
  <si>
    <t>Enable repeatable decision support</t>
  </si>
  <si>
    <t>Medium</t>
  </si>
  <si>
    <t>Refreshable data model</t>
  </si>
  <si>
    <t>TMS/WMS/SQL data architecture and BI layer</t>
  </si>
  <si>
    <t>REQ-06</t>
  </si>
  <si>
    <t>Provide executive-ready recommendations</t>
  </si>
  <si>
    <t>Support stakeholder decisions</t>
  </si>
  <si>
    <t>Decision-ready dashboard</t>
  </si>
  <si>
    <t>Executive dashboard and implementation handoff</t>
  </si>
  <si>
    <t>2. SOLUTION ARCHITECTURE &amp; DATA FLOW</t>
  </si>
  <si>
    <t>Layer</t>
  </si>
  <si>
    <t>Primary System / Tool</t>
  </si>
  <si>
    <t>Key Data</t>
  </si>
  <si>
    <t>Transformation / Validation</t>
  </si>
  <si>
    <t>Output</t>
  </si>
  <si>
    <t>Owner</t>
  </si>
  <si>
    <t>Source</t>
  </si>
  <si>
    <t>TMS</t>
  </si>
  <si>
    <t>Shipments, lanes, modes, carrier, cost</t>
  </si>
  <si>
    <t>Required fields; duplicate shipment check</t>
  </si>
  <si>
    <t>Validated transportation fact table</t>
  </si>
  <si>
    <t>Transportation / IT</t>
  </si>
  <si>
    <t>WMS</t>
  </si>
  <si>
    <t>Orders, ship dates, facility data</t>
  </si>
  <si>
    <t>Order-to-shipment reconciliation</t>
  </si>
  <si>
    <t>Operational context</t>
  </si>
  <si>
    <t>Operations / IT</t>
  </si>
  <si>
    <t>Carrier / Procurement</t>
  </si>
  <si>
    <t>Rates, fuel, accessorials, service commitments</t>
  </si>
  <si>
    <t>Rate-effective-date and accessorial checks</t>
  </si>
  <si>
    <t>Validated rate table</t>
  </si>
  <si>
    <t>Procurement</t>
  </si>
  <si>
    <t>Data Layer</t>
  </si>
  <si>
    <t>SQL</t>
  </si>
  <si>
    <t>Joined shipment, rate and service data</t>
  </si>
  <si>
    <t>Business rules and scenario calculations</t>
  </si>
  <si>
    <t>Analysis-ready dataset</t>
  </si>
  <si>
    <t>Analytics</t>
  </si>
  <si>
    <t>Model</t>
  </si>
  <si>
    <t>Excel</t>
  </si>
  <si>
    <t>Cost, sensitivity, break-even, constraints</t>
  </si>
  <si>
    <t>Formula and assumption controls</t>
  </si>
  <si>
    <t>Scenario model</t>
  </si>
  <si>
    <t>Solutions Architect</t>
  </si>
  <si>
    <t>Reporting</t>
  </si>
  <si>
    <t>Power BI / Tableau</t>
  </si>
  <si>
    <t>KPIs and lane recommendations</t>
  </si>
  <si>
    <t>Refresh and reconciliation checks</t>
  </si>
  <si>
    <t>Executive dashboard</t>
  </si>
  <si>
    <t>Analytics / Leadership</t>
  </si>
  <si>
    <t>3. OPERATIONAL FEASIBILITY &amp; VALIDATION GATES</t>
  </si>
  <si>
    <t>Validation Area</t>
  </si>
  <si>
    <t>Question / Control</t>
  </si>
  <si>
    <t>Status</t>
  </si>
  <si>
    <t>Evidence Required</t>
  </si>
  <si>
    <t>Implementation Gate</t>
  </si>
  <si>
    <t>Carrier Capacity</t>
  </si>
  <si>
    <t>Can the selected carrier support forecasted volume?</t>
  </si>
  <si>
    <t>Pending</t>
  </si>
  <si>
    <t>Written capacity confirmation</t>
  </si>
  <si>
    <t>Go / No-Go</t>
  </si>
  <si>
    <t>Service</t>
  </si>
  <si>
    <t>Can ≥95% service performance be contractually supported?</t>
  </si>
  <si>
    <t>Operations</t>
  </si>
  <si>
    <t>Service KPI history / commitment</t>
  </si>
  <si>
    <t>Accessorials</t>
  </si>
  <si>
    <t>Are modeled accessorial assumptions contractually accurate?</t>
  </si>
  <si>
    <t>Rate sheet validation</t>
  </si>
  <si>
    <t>Systems</t>
  </si>
  <si>
    <t>Can TMS/WMS master data support the proposed routing?</t>
  </si>
  <si>
    <t>IT</t>
  </si>
  <si>
    <t>Configuration review</t>
  </si>
  <si>
    <t>Commercial</t>
  </si>
  <si>
    <t>Are contract, liability and termination conditions acceptable?</t>
  </si>
  <si>
    <t>Legal / Procurement</t>
  </si>
  <si>
    <t>Contract review</t>
  </si>
  <si>
    <t>4. DATA QUALITY &amp; VALIDATION RULES</t>
  </si>
  <si>
    <t>Rule ID</t>
  </si>
  <si>
    <t>Data Element</t>
  </si>
  <si>
    <t>Validation Rule</t>
  </si>
  <si>
    <t>Exception Handling</t>
  </si>
  <si>
    <t>DQ-01</t>
  </si>
  <si>
    <t>Shipment ID</t>
  </si>
  <si>
    <t>Must be unique and nonblank</t>
  </si>
  <si>
    <t>Reject duplicate or missing records</t>
  </si>
  <si>
    <t>Data Owner</t>
  </si>
  <si>
    <t>Defined</t>
  </si>
  <si>
    <t>DQ-02</t>
  </si>
  <si>
    <t>Lane</t>
  </si>
  <si>
    <t>Origin and destination must map to approved geography</t>
  </si>
  <si>
    <t>Route to data steward</t>
  </si>
  <si>
    <t>Transportation</t>
  </si>
  <si>
    <t>DQ-03</t>
  </si>
  <si>
    <t>Carrier Rate</t>
  </si>
  <si>
    <t>Rate must have effective date and lane coverage</t>
  </si>
  <si>
    <t>Exclude invalid rate from scenario</t>
  </si>
  <si>
    <t>DQ-04</t>
  </si>
  <si>
    <t>Value must be between 0% and 100%</t>
  </si>
  <si>
    <t>Flag and investigate</t>
  </si>
  <si>
    <t>DQ-05</t>
  </si>
  <si>
    <t>Cost Components</t>
  </si>
  <si>
    <t>Base, fuel and accessorial logic must reconcile</t>
  </si>
  <si>
    <t>Hold scenario output</t>
  </si>
  <si>
    <t>DATA DICTIONARY &amp; COST MODEL DOCUMENTATION</t>
  </si>
  <si>
    <t>Definitions, Business Rules &amp; Data Validation Ownership</t>
  </si>
  <si>
    <t>DATA DEFINITIONS &amp; BUSINESS RULES</t>
  </si>
  <si>
    <t>Field</t>
  </si>
  <si>
    <t>Definition</t>
  </si>
  <si>
    <t>Source System</t>
  </si>
  <si>
    <t>Data Type</t>
  </si>
  <si>
    <t>Used In</t>
  </si>
  <si>
    <t>Unique shipment identifier</t>
  </si>
  <si>
    <t>Text</t>
  </si>
  <si>
    <t>SQL / BI / Excel</t>
  </si>
  <si>
    <t>Destination market or city</t>
  </si>
  <si>
    <t>Must map to approved geography</t>
  </si>
  <si>
    <t>Lane analysis</t>
  </si>
  <si>
    <t>Current network transportation spend</t>
  </si>
  <si>
    <t>TMS / Finance</t>
  </si>
  <si>
    <t>Currency</t>
  </si>
  <si>
    <t>Reconcile to transportation spend extract</t>
  </si>
  <si>
    <t>KPI / Cost Model</t>
  </si>
  <si>
    <t>Finance</t>
  </si>
  <si>
    <t>Modeled carrier lane rate</t>
  </si>
  <si>
    <t>Validate effective date and lane coverage</t>
  </si>
  <si>
    <t>Scenario Model</t>
  </si>
  <si>
    <t>Fuel Surcharge</t>
  </si>
  <si>
    <t>Modeled fuel adjustment</t>
  </si>
  <si>
    <t>Carrier Contract</t>
  </si>
  <si>
    <t>Currency / Percentage</t>
  </si>
  <si>
    <t>Validate against contract logic</t>
  </si>
  <si>
    <t>Cost Model</t>
  </si>
  <si>
    <t>Additional transportation charge</t>
  </si>
  <si>
    <t>Carrier / TMS</t>
  </si>
  <si>
    <t>Validate reason codes and charges</t>
  </si>
  <si>
    <t>On-time or service performance</t>
  </si>
  <si>
    <t>TMS / Carrier KPI</t>
  </si>
  <si>
    <t>Percentage</t>
  </si>
  <si>
    <t>Must be between 0% and 100%</t>
  </si>
  <si>
    <t>Eligibility Constraint</t>
  </si>
  <si>
    <t>Eligible</t>
  </si>
  <si>
    <t>Carrier meets minimum 95% service threshold</t>
  </si>
  <si>
    <t>Calculated</t>
  </si>
  <si>
    <t>Boolean</t>
  </si>
  <si>
    <t>Based on service-level rule</t>
  </si>
  <si>
    <t>Optimization</t>
  </si>
  <si>
    <t>Discount required for modeled option to reach current cost</t>
  </si>
  <si>
    <t>Validate against cost formula</t>
  </si>
  <si>
    <t>Negotiation Strategy</t>
  </si>
  <si>
    <t>IMPLEMENTATION &amp; HANDOFF PLAN</t>
  </si>
  <si>
    <t>From Approved Solution Design to Controlled Network Deployment</t>
  </si>
  <si>
    <t>IMPLEMENTATION WORKPLAN</t>
  </si>
  <si>
    <t>Phase</t>
  </si>
  <si>
    <t>Activity</t>
  </si>
  <si>
    <t>Deliverable</t>
  </si>
  <si>
    <t>Decision Gate</t>
  </si>
  <si>
    <t>Dependency</t>
  </si>
  <si>
    <t>Timing</t>
  </si>
  <si>
    <t>1. Validate</t>
  </si>
  <si>
    <t>Validate shipment, rate, fuel and accessorial assumptions</t>
  </si>
  <si>
    <t>Solutions Architect / Procurement</t>
  </si>
  <si>
    <t>Signed-off baseline</t>
  </si>
  <si>
    <t>Data approved</t>
  </si>
  <si>
    <t>Source extracts</t>
  </si>
  <si>
    <t>Planned</t>
  </si>
  <si>
    <t>Week 1</t>
  </si>
  <si>
    <t>2. Design</t>
  </si>
  <si>
    <t>Confirm target lanes, carriers and service constraints</t>
  </si>
  <si>
    <t>Solutions Architect / Operations</t>
  </si>
  <si>
    <t>Approved solution design</t>
  </si>
  <si>
    <t>Design approved</t>
  </si>
  <si>
    <t>Validated baseline</t>
  </si>
  <si>
    <t>Week 1–2</t>
  </si>
  <si>
    <t>3. Configure</t>
  </si>
  <si>
    <t>Update TMS routing guide and carrier master data</t>
  </si>
  <si>
    <t>IT / Transportation</t>
  </si>
  <si>
    <t>Configured test environment</t>
  </si>
  <si>
    <t>Configuration complete</t>
  </si>
  <si>
    <t>Approved design</t>
  </si>
  <si>
    <t>Week 2–3</t>
  </si>
  <si>
    <t>4. Test</t>
  </si>
  <si>
    <t>Run parallel cost and operational scenario testing</t>
  </si>
  <si>
    <t>Operations / Analytics</t>
  </si>
  <si>
    <t>Test results and exceptions log</t>
  </si>
  <si>
    <t>Test pass</t>
  </si>
  <si>
    <t>Configured environment</t>
  </si>
  <si>
    <t>Week 3</t>
  </si>
  <si>
    <t>5. Implement</t>
  </si>
  <si>
    <t>Execute phased lane and carrier changes</t>
  </si>
  <si>
    <t>Transportation / Procurement</t>
  </si>
  <si>
    <t>Go-live</t>
  </si>
  <si>
    <t>Go-live approval</t>
  </si>
  <si>
    <t>Week 4</t>
  </si>
  <si>
    <t>6. Monitor</t>
  </si>
  <si>
    <t>Track cost, service and exceptions against baseline</t>
  </si>
  <si>
    <t>30-day performance review</t>
  </si>
  <si>
    <t>Stabilization accepted</t>
  </si>
  <si>
    <t>Weeks 5–8</t>
  </si>
  <si>
    <t>HANDOFF &amp; GOVERNANCE</t>
  </si>
  <si>
    <t>Artifact</t>
  </si>
  <si>
    <t>Purpose</t>
  </si>
  <si>
    <t>Primary Owner</t>
  </si>
  <si>
    <t>Audience</t>
  </si>
  <si>
    <t>Frequency</t>
  </si>
  <si>
    <t>Acceptance Criteria</t>
  </si>
  <si>
    <t>Repository</t>
  </si>
  <si>
    <t>Rate &amp; Assumption Register</t>
  </si>
  <si>
    <t>Controls scenario assumptions</t>
  </si>
  <si>
    <t>Procurement / Operations</t>
  </si>
  <si>
    <t>Per change</t>
  </si>
  <si>
    <t>Owner sign-off</t>
  </si>
  <si>
    <t>Project workspace</t>
  </si>
  <si>
    <t>Required</t>
  </si>
  <si>
    <t>Data Dictionary</t>
  </si>
  <si>
    <t>Defines fields and business rules</t>
  </si>
  <si>
    <t>IT / BI</t>
  </si>
  <si>
    <t>Quarterly</t>
  </si>
  <si>
    <t>Data owner approval</t>
  </si>
  <si>
    <t>Data repository</t>
  </si>
  <si>
    <t>Executive Dashboard</t>
  </si>
  <si>
    <t>Tracks cost and service outcomes</t>
  </si>
  <si>
    <t>Leadership</t>
  </si>
  <si>
    <t>Weekly / Monthly</t>
  </si>
  <si>
    <t>KPI reconciliation</t>
  </si>
  <si>
    <t>BI workspace</t>
  </si>
  <si>
    <t>Exception Log</t>
  </si>
  <si>
    <t>Captures operational issues</t>
  </si>
  <si>
    <t>Project team</t>
  </si>
  <si>
    <t>Daily during rollout</t>
  </si>
  <si>
    <t>Closed or accepted risk</t>
  </si>
  <si>
    <t>TMS / Project log</t>
  </si>
  <si>
    <t>Implementation Runbook</t>
  </si>
  <si>
    <t>Documents deployment steps and rollback</t>
  </si>
  <si>
    <t>Solutions Architect / IT</t>
  </si>
  <si>
    <t>Implementation team</t>
  </si>
  <si>
    <t>Per release</t>
  </si>
  <si>
    <t>Go-live readiness approval</t>
  </si>
  <si>
    <t>PORTFOLIO CASE STUDY — TRANSPORTATION NETWORK OPTIMIZATION</t>
  </si>
  <si>
    <t>Solutions Architect | Transportation Network Strategy / Supply Chain</t>
  </si>
  <si>
    <t>PROJECT OVERVIEW</t>
  </si>
  <si>
    <t>This simulated portfolio case study demonstrates an end-to-end transportation network strategy workflow. It combines shipment and carrier-rate analysis, service-level constraints, negotiated-rate scenarios, break-even analysis, executive reporting, client requirements, data architecture, validation controls, operational feasibility checks, and an implementation handoff plan. All data is simulated and intended to demonstrate analytical and solution-design capability.</t>
  </si>
  <si>
    <t>HOW THIS PROJECT MAPS TO A SOLUTIONS ARCHITECT ROLE</t>
  </si>
  <si>
    <t>Capability</t>
  </si>
  <si>
    <t>Portfolio Evidence</t>
  </si>
  <si>
    <t>Workbook Location</t>
  </si>
  <si>
    <t>Transportation Network Analysis</t>
  </si>
  <si>
    <t>Lane-level current versus modeled cost comparison</t>
  </si>
  <si>
    <t>Analysis / Dashboard</t>
  </si>
  <si>
    <t>Carrier Strategy &amp; Procurement</t>
  </si>
  <si>
    <t>Service eligibility, negotiated-rate scenarios and break-even thresholds</t>
  </si>
  <si>
    <t>Cost Modeling</t>
  </si>
  <si>
    <t>Current cost, modeled cost, variance and sensitivity analysis</t>
  </si>
  <si>
    <t>Analysis</t>
  </si>
  <si>
    <t>Client Discovery</t>
  </si>
  <si>
    <t>Business objectives, priorities and success metrics</t>
  </si>
  <si>
    <t>Requirements &amp; Solution Design</t>
  </si>
  <si>
    <t>Operational Feasibility</t>
  </si>
  <si>
    <t>Capacity, service, accessorial, systems and commercial gates</t>
  </si>
  <si>
    <t>SQL / Data Architecture</t>
  </si>
  <si>
    <t>Defined source-to-model flow and SQL transformation layer</t>
  </si>
  <si>
    <t>Defined reporting layer and executive KPI outputs</t>
  </si>
  <si>
    <t>TMS / WMS</t>
  </si>
  <si>
    <t>Source-system responsibilities and implementation dependencies</t>
  </si>
  <si>
    <t>Data Validation</t>
  </si>
  <si>
    <t>Data quality rules and exception handling</t>
  </si>
  <si>
    <t>Requirements &amp; Solution Design / Data Dictionary</t>
  </si>
  <si>
    <t>Implementation</t>
  </si>
  <si>
    <t>Phased workplan, decision gates and handoff artifacts</t>
  </si>
  <si>
    <t>Implementation &amp; Handoff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</si>
</sst>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70" formatCode="&quot;$&quot;#,##0.00"/>
  </numFmts>
  <fonts count="21" x14ac:knownFonts="1">
    <font>
      <sz val="11"/>
      <color theme="1"/>
      <name val="Aptos Narrow"/>
      <family val="2"/>
      <scheme val="minor"/>
    </font>
    <font>
      <sz val="11"/>
      <color theme="1"/>
      <name val="Aptos Narrow"/>
      <family val="2"/>
      <scheme val="minor"/>
    </font>
    <font>
      <sz val="11"/>
      <color rgb="FF006100"/>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22"/>
      <color theme="1"/>
      <name val="Calibri"/>
      <family val="2"/>
    </font>
    <font>
      <i/>
      <sz val="11"/>
      <color theme="1" tint="0.499984740745262"/>
      <name val="Calibri"/>
      <family val="2"/>
    </font>
    <font>
      <b/>
      <sz val="22"/>
      <color theme="0"/>
      <name val="Calibri"/>
      <family val="2"/>
    </font>
    <font>
      <b/>
      <sz val="10"/>
      <color theme="9"/>
      <name val="Aptos Narrow"/>
      <family val="2"/>
      <scheme val="minor"/>
    </font>
    <font>
      <b/>
      <sz val="20"/>
      <color theme="9"/>
      <name val="Aptos Narrow"/>
      <family val="2"/>
      <scheme val="minor"/>
    </font>
    <font>
      <sz val="10"/>
      <color theme="1"/>
      <name val="Aptos Narrow"/>
      <family val="2"/>
      <scheme val="minor"/>
    </font>
    <font>
      <sz val="10"/>
      <color theme="0"/>
      <name val="Aptos Narrow"/>
      <family val="2"/>
      <scheme val="minor"/>
    </font>
    <font>
      <b/>
      <sz val="10"/>
      <color theme="0"/>
      <name val="Aptos Narrow"/>
      <family val="2"/>
      <scheme val="minor"/>
    </font>
    <font>
      <sz val="11"/>
      <color theme="1" tint="0.249977111117893"/>
      <name val="Aptos Narrow"/>
      <family val="2"/>
      <scheme val="minor"/>
    </font>
    <font>
      <b/>
      <sz val="12"/>
      <color theme="9"/>
      <name val="Aptos Narrow"/>
      <family val="2"/>
      <scheme val="minor"/>
    </font>
    <font>
      <sz val="10"/>
      <color theme="1" tint="0.249977111117893"/>
      <name val="Aptos Narrow"/>
      <family val="2"/>
      <scheme val="minor"/>
    </font>
    <font>
      <sz val="10"/>
      <color rgb="FF333333"/>
      <name val="Aptos Narrow"/>
      <family val="2"/>
      <scheme val="minor"/>
    </font>
    <font>
      <b/>
      <sz val="18"/>
      <color rgb="FFFFFFFF"/>
      <name val="Aptos Narrow"/>
      <family val="2"/>
      <scheme val="minor"/>
    </font>
    <font>
      <i/>
      <sz val="10"/>
      <color rgb="FF666666"/>
      <name val="Aptos Narrow"/>
      <family val="2"/>
      <scheme val="minor"/>
    </font>
    <font>
      <b/>
      <sz val="10"/>
      <color rgb="FFFFFFFF"/>
      <name val="Aptos Narrow"/>
      <family val="2"/>
      <scheme val="minor"/>
    </font>
  </fonts>
  <fills count="10">
    <fill>
      <patternFill patternType="none"/>
    </fill>
    <fill>
      <patternFill patternType="gray125"/>
    </fill>
    <fill>
      <patternFill patternType="solid">
        <fgColor rgb="FFC6EFCE"/>
      </patternFill>
    </fill>
    <fill>
      <patternFill patternType="solid">
        <fgColor theme="0" tint="-4.9989318521683403E-2"/>
        <bgColor indexed="64"/>
      </patternFill>
    </fill>
    <fill>
      <patternFill patternType="solid">
        <fgColor theme="0"/>
        <bgColor indexed="64"/>
      </patternFill>
    </fill>
    <fill>
      <patternFill patternType="solid">
        <fgColor theme="9"/>
        <bgColor indexed="64"/>
      </patternFill>
    </fill>
    <fill>
      <patternFill patternType="solid">
        <fgColor theme="7"/>
        <bgColor indexed="64"/>
      </patternFill>
    </fill>
    <fill>
      <patternFill patternType="solid">
        <fgColor rgb="FF3E8E2B"/>
      </patternFill>
    </fill>
    <fill>
      <patternFill patternType="solid">
        <fgColor theme="2" tint="-9.9978637043366805E-2"/>
        <bgColor indexed="64"/>
      </patternFill>
    </fill>
    <fill>
      <patternFill patternType="solid">
        <fgColor theme="2"/>
        <bgColor indexed="64"/>
      </patternFill>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top style="thin">
        <color theme="9"/>
      </top>
      <bottom/>
      <diagonal/>
    </border>
    <border>
      <left style="thin">
        <color theme="9"/>
      </left>
      <right/>
      <top style="thin">
        <color theme="9"/>
      </top>
      <bottom/>
      <diagonal/>
    </border>
    <border>
      <left/>
      <right style="thin">
        <color theme="9"/>
      </right>
      <top style="thin">
        <color theme="9"/>
      </top>
      <bottom/>
      <diagonal/>
    </border>
    <border>
      <left style="thin">
        <color theme="9"/>
      </left>
      <right/>
      <top/>
      <bottom/>
      <diagonal/>
    </border>
    <border>
      <left/>
      <right style="thin">
        <color theme="9"/>
      </right>
      <top/>
      <bottom/>
      <diagonal/>
    </border>
    <border>
      <left style="thin">
        <color theme="9"/>
      </left>
      <right/>
      <top/>
      <bottom style="thin">
        <color theme="9"/>
      </bottom>
      <diagonal/>
    </border>
    <border>
      <left/>
      <right/>
      <top/>
      <bottom style="thin">
        <color theme="9"/>
      </bottom>
      <diagonal/>
    </border>
    <border>
      <left/>
      <right style="thin">
        <color theme="9"/>
      </right>
      <top/>
      <bottom style="thin">
        <color theme="9"/>
      </bottom>
      <diagonal/>
    </border>
    <border>
      <left style="thin">
        <color rgb="FF9FC69A"/>
      </left>
      <right style="thin">
        <color rgb="FF9FC69A"/>
      </right>
      <top style="thin">
        <color rgb="FF9FC69A"/>
      </top>
      <bottom style="thin">
        <color rgb="FF9FC69A"/>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cellStyleXfs>
  <cellXfs count="93">
    <xf numFmtId="0" fontId="0" fillId="0" borderId="0" xfId="0"/>
    <xf numFmtId="0" fontId="4" fillId="0" borderId="0" xfId="0" applyFont="1" applyAlignment="1">
      <alignment horizontal="center" vertical="center" wrapText="1"/>
    </xf>
    <xf numFmtId="0" fontId="0" fillId="0" borderId="0" xfId="0" applyAlignment="1">
      <alignment horizontal="right" vertical="center" wrapText="1"/>
    </xf>
    <xf numFmtId="0" fontId="4" fillId="0" borderId="0" xfId="0" applyFont="1" applyAlignment="1">
      <alignment horizontal="right" vertical="center" wrapText="1"/>
    </xf>
    <xf numFmtId="0" fontId="0" fillId="0" borderId="0" xfId="0" applyAlignment="1">
      <alignment vertical="center" wrapText="1"/>
    </xf>
    <xf numFmtId="0" fontId="4" fillId="0" borderId="0" xfId="0" applyFont="1" applyAlignment="1">
      <alignment vertical="center" wrapText="1"/>
    </xf>
    <xf numFmtId="10" fontId="0" fillId="0" borderId="0" xfId="0" applyNumberFormat="1" applyAlignment="1">
      <alignment horizontal="right" vertical="center" wrapText="1"/>
    </xf>
    <xf numFmtId="9" fontId="0" fillId="0" borderId="0" xfId="0" applyNumberFormat="1" applyAlignment="1">
      <alignment horizontal="right" vertical="center" wrapText="1"/>
    </xf>
    <xf numFmtId="0" fontId="4" fillId="0" borderId="0" xfId="0" applyFont="1" applyAlignment="1">
      <alignment horizontal="center" vertical="center"/>
    </xf>
    <xf numFmtId="170" fontId="0" fillId="0" borderId="0" xfId="0" applyNumberFormat="1"/>
    <xf numFmtId="170" fontId="0" fillId="0" borderId="0" xfId="1" applyNumberFormat="1" applyFont="1" applyAlignment="1">
      <alignment horizontal="right" vertical="center" wrapText="1"/>
    </xf>
    <xf numFmtId="0" fontId="0" fillId="0" borderId="0" xfId="0" pivotButton="1"/>
    <xf numFmtId="0" fontId="0" fillId="0" borderId="0" xfId="0" applyAlignment="1">
      <alignment horizontal="left"/>
    </xf>
    <xf numFmtId="10" fontId="0" fillId="0" borderId="0" xfId="0" applyNumberFormat="1"/>
    <xf numFmtId="170" fontId="0" fillId="0" borderId="0" xfId="0" applyNumberFormat="1" applyAlignment="1">
      <alignment horizontal="right" vertical="center" wrapText="1"/>
    </xf>
    <xf numFmtId="0" fontId="4" fillId="0" borderId="0" xfId="0" applyFont="1"/>
    <xf numFmtId="0" fontId="0" fillId="0" borderId="0" xfId="0" applyAlignment="1">
      <alignment horizontal="center" vertical="center" wrapText="1"/>
    </xf>
    <xf numFmtId="0" fontId="0" fillId="3" borderId="0" xfId="0" applyFill="1"/>
    <xf numFmtId="0" fontId="6" fillId="3" borderId="0" xfId="0" applyFont="1" applyFill="1" applyAlignment="1">
      <alignment horizontal="center"/>
    </xf>
    <xf numFmtId="0" fontId="7" fillId="3" borderId="0" xfId="0" applyFont="1" applyFill="1" applyAlignment="1">
      <alignment horizontal="center"/>
    </xf>
    <xf numFmtId="0" fontId="9" fillId="4" borderId="1" xfId="0" applyFont="1" applyFill="1" applyBorder="1" applyAlignment="1">
      <alignment horizontal="center" vertical="center"/>
    </xf>
    <xf numFmtId="0" fontId="9" fillId="4" borderId="2" xfId="0" applyFont="1" applyFill="1" applyBorder="1" applyAlignment="1">
      <alignment horizontal="center" vertical="center"/>
    </xf>
    <xf numFmtId="0" fontId="9" fillId="4" borderId="3" xfId="0" applyFont="1" applyFill="1" applyBorder="1" applyAlignment="1">
      <alignment horizontal="center" vertical="center"/>
    </xf>
    <xf numFmtId="0" fontId="9" fillId="4" borderId="0" xfId="0" applyFont="1" applyFill="1" applyBorder="1" applyAlignment="1">
      <alignment horizontal="center" vertical="center"/>
    </xf>
    <xf numFmtId="170" fontId="10" fillId="4" borderId="0" xfId="0" applyNumberFormat="1" applyFont="1" applyFill="1" applyBorder="1" applyAlignment="1">
      <alignment horizontal="center"/>
    </xf>
    <xf numFmtId="0" fontId="9" fillId="4" borderId="7" xfId="0" applyFont="1" applyFill="1" applyBorder="1" applyAlignment="1">
      <alignment horizontal="center" vertical="center"/>
    </xf>
    <xf numFmtId="0" fontId="9" fillId="4" borderId="8" xfId="0" applyFont="1" applyFill="1" applyBorder="1" applyAlignment="1">
      <alignment horizontal="center" vertical="center"/>
    </xf>
    <xf numFmtId="170" fontId="10" fillId="4" borderId="7" xfId="0" applyNumberFormat="1" applyFont="1" applyFill="1" applyBorder="1" applyAlignment="1">
      <alignment horizontal="center"/>
    </xf>
    <xf numFmtId="170" fontId="10" fillId="4" borderId="8" xfId="0" applyNumberFormat="1" applyFont="1" applyFill="1" applyBorder="1" applyAlignment="1">
      <alignment horizontal="center"/>
    </xf>
    <xf numFmtId="170" fontId="10" fillId="4" borderId="4" xfId="0" applyNumberFormat="1" applyFont="1" applyFill="1" applyBorder="1" applyAlignment="1">
      <alignment horizontal="center"/>
    </xf>
    <xf numFmtId="170" fontId="10" fillId="4" borderId="5" xfId="0" applyNumberFormat="1" applyFont="1" applyFill="1" applyBorder="1" applyAlignment="1">
      <alignment horizontal="center"/>
    </xf>
    <xf numFmtId="170" fontId="10" fillId="4" borderId="6" xfId="0" applyNumberFormat="1" applyFont="1" applyFill="1" applyBorder="1" applyAlignment="1">
      <alignment horizontal="center"/>
    </xf>
    <xf numFmtId="170" fontId="10" fillId="4" borderId="7" xfId="0" applyNumberFormat="1" applyFont="1" applyFill="1" applyBorder="1" applyAlignment="1">
      <alignment horizontal="center" vertical="center"/>
    </xf>
    <xf numFmtId="170" fontId="10" fillId="4" borderId="0" xfId="0" applyNumberFormat="1" applyFont="1" applyFill="1" applyBorder="1" applyAlignment="1">
      <alignment horizontal="center" vertical="center"/>
    </xf>
    <xf numFmtId="170" fontId="10" fillId="4" borderId="8" xfId="0" applyNumberFormat="1" applyFont="1" applyFill="1" applyBorder="1" applyAlignment="1">
      <alignment horizontal="center" vertical="center"/>
    </xf>
    <xf numFmtId="170" fontId="10" fillId="4" borderId="4" xfId="0" applyNumberFormat="1" applyFont="1" applyFill="1" applyBorder="1" applyAlignment="1">
      <alignment horizontal="center" vertical="center"/>
    </xf>
    <xf numFmtId="170" fontId="10" fillId="4" borderId="5" xfId="0" applyNumberFormat="1" applyFont="1" applyFill="1" applyBorder="1" applyAlignment="1">
      <alignment horizontal="center" vertical="center"/>
    </xf>
    <xf numFmtId="170" fontId="10" fillId="4" borderId="6" xfId="0" applyNumberFormat="1" applyFont="1" applyFill="1" applyBorder="1" applyAlignment="1">
      <alignment horizontal="center" vertical="center"/>
    </xf>
    <xf numFmtId="10" fontId="10" fillId="4" borderId="7" xfId="0" applyNumberFormat="1" applyFont="1" applyFill="1" applyBorder="1" applyAlignment="1">
      <alignment horizontal="center"/>
    </xf>
    <xf numFmtId="0" fontId="10" fillId="4" borderId="0" xfId="0" applyFont="1" applyFill="1" applyBorder="1" applyAlignment="1">
      <alignment horizontal="center"/>
    </xf>
    <xf numFmtId="0" fontId="10" fillId="4" borderId="8" xfId="0" applyFont="1" applyFill="1" applyBorder="1" applyAlignment="1">
      <alignment horizontal="center"/>
    </xf>
    <xf numFmtId="0" fontId="10" fillId="4" borderId="4" xfId="0" applyFont="1" applyFill="1" applyBorder="1" applyAlignment="1">
      <alignment horizontal="center"/>
    </xf>
    <xf numFmtId="0" fontId="10" fillId="4" borderId="5" xfId="0" applyFont="1" applyFill="1" applyBorder="1" applyAlignment="1">
      <alignment horizontal="center"/>
    </xf>
    <xf numFmtId="0" fontId="10" fillId="4" borderId="6" xfId="0" applyFont="1" applyFill="1" applyBorder="1" applyAlignment="1">
      <alignment horizontal="center"/>
    </xf>
    <xf numFmtId="0" fontId="10" fillId="4" borderId="7" xfId="0" applyFont="1" applyFill="1" applyBorder="1" applyAlignment="1">
      <alignment horizontal="center"/>
    </xf>
    <xf numFmtId="0" fontId="0" fillId="3" borderId="9" xfId="0" applyFill="1" applyBorder="1"/>
    <xf numFmtId="0" fontId="12" fillId="5" borderId="10" xfId="0" applyFont="1" applyFill="1" applyBorder="1"/>
    <xf numFmtId="0" fontId="12" fillId="5" borderId="10" xfId="0" applyFont="1" applyFill="1" applyBorder="1" applyAlignment="1">
      <alignment horizontal="right"/>
    </xf>
    <xf numFmtId="0" fontId="11" fillId="3" borderId="10" xfId="0" applyFont="1" applyFill="1" applyBorder="1"/>
    <xf numFmtId="44" fontId="11" fillId="3" borderId="10" xfId="1" applyFont="1" applyFill="1" applyBorder="1"/>
    <xf numFmtId="0" fontId="8" fillId="6" borderId="0" xfId="0" applyFont="1" applyFill="1" applyAlignment="1">
      <alignment horizontal="center"/>
    </xf>
    <xf numFmtId="10" fontId="12" fillId="5" borderId="10" xfId="2" applyNumberFormat="1" applyFont="1" applyFill="1" applyBorder="1"/>
    <xf numFmtId="10" fontId="0" fillId="3" borderId="10" xfId="2" applyNumberFormat="1" applyFont="1" applyFill="1" applyBorder="1"/>
    <xf numFmtId="0" fontId="13" fillId="5" borderId="10" xfId="0" applyFont="1" applyFill="1" applyBorder="1"/>
    <xf numFmtId="9" fontId="11" fillId="3" borderId="10" xfId="0" applyNumberFormat="1" applyFont="1" applyFill="1" applyBorder="1"/>
    <xf numFmtId="0" fontId="14" fillId="4" borderId="0" xfId="0" applyFont="1" applyFill="1" applyBorder="1" applyAlignment="1">
      <alignment horizontal="left" vertical="center"/>
    </xf>
    <xf numFmtId="0" fontId="0" fillId="0" borderId="0" xfId="0" applyBorder="1"/>
    <xf numFmtId="0" fontId="14" fillId="4" borderId="12" xfId="0" applyFont="1" applyFill="1" applyBorder="1" applyAlignment="1">
      <alignment horizontal="left" vertical="center" wrapText="1"/>
    </xf>
    <xf numFmtId="0" fontId="14" fillId="4" borderId="11" xfId="0" applyFont="1" applyFill="1" applyBorder="1" applyAlignment="1">
      <alignment horizontal="left" vertical="center"/>
    </xf>
    <xf numFmtId="0" fontId="14" fillId="4" borderId="13" xfId="0" applyFont="1" applyFill="1" applyBorder="1" applyAlignment="1">
      <alignment horizontal="left" vertical="center"/>
    </xf>
    <xf numFmtId="0" fontId="14" fillId="4" borderId="14" xfId="0" applyFont="1" applyFill="1" applyBorder="1" applyAlignment="1">
      <alignment horizontal="left" vertical="center"/>
    </xf>
    <xf numFmtId="0" fontId="14" fillId="4" borderId="15" xfId="0" applyFont="1" applyFill="1" applyBorder="1" applyAlignment="1">
      <alignment horizontal="left" vertical="center"/>
    </xf>
    <xf numFmtId="0" fontId="14" fillId="4" borderId="16" xfId="0" applyFont="1" applyFill="1" applyBorder="1" applyAlignment="1">
      <alignment horizontal="left" vertical="center"/>
    </xf>
    <xf numFmtId="0" fontId="14" fillId="4" borderId="17" xfId="0" applyFont="1" applyFill="1" applyBorder="1" applyAlignment="1">
      <alignment horizontal="left" vertical="center"/>
    </xf>
    <xf numFmtId="0" fontId="14" fillId="4" borderId="18" xfId="0" applyFont="1" applyFill="1" applyBorder="1" applyAlignment="1">
      <alignment horizontal="left" vertical="center"/>
    </xf>
    <xf numFmtId="0" fontId="0" fillId="4" borderId="12" xfId="0" applyFill="1" applyBorder="1" applyAlignment="1">
      <alignment horizontal="left" vertical="center" wrapText="1"/>
    </xf>
    <xf numFmtId="0" fontId="0" fillId="4" borderId="11" xfId="0" applyFill="1" applyBorder="1" applyAlignment="1">
      <alignment horizontal="left" vertical="center"/>
    </xf>
    <xf numFmtId="0" fontId="0" fillId="4" borderId="13" xfId="0" applyFill="1" applyBorder="1" applyAlignment="1">
      <alignment horizontal="left" vertical="center"/>
    </xf>
    <xf numFmtId="0" fontId="0" fillId="4" borderId="14" xfId="0" applyFill="1" applyBorder="1" applyAlignment="1">
      <alignment horizontal="left" vertical="center"/>
    </xf>
    <xf numFmtId="0" fontId="0" fillId="4" borderId="0" xfId="0" applyFill="1" applyBorder="1" applyAlignment="1">
      <alignment horizontal="left" vertical="center"/>
    </xf>
    <xf numFmtId="0" fontId="0" fillId="4" borderId="15" xfId="0" applyFill="1" applyBorder="1" applyAlignment="1">
      <alignment horizontal="left" vertical="center"/>
    </xf>
    <xf numFmtId="0" fontId="0" fillId="4" borderId="16" xfId="0" applyFill="1" applyBorder="1" applyAlignment="1">
      <alignment horizontal="left" vertical="center"/>
    </xf>
    <xf numFmtId="0" fontId="0" fillId="4" borderId="17" xfId="0" applyFill="1" applyBorder="1" applyAlignment="1">
      <alignment horizontal="left" vertical="center"/>
    </xf>
    <xf numFmtId="0" fontId="0" fillId="4" borderId="18" xfId="0" applyFill="1" applyBorder="1" applyAlignment="1">
      <alignment horizontal="left" vertical="center"/>
    </xf>
    <xf numFmtId="0" fontId="17" fillId="0" borderId="19" xfId="0" applyFont="1" applyBorder="1" applyAlignment="1">
      <alignment vertical="center" wrapText="1"/>
    </xf>
    <xf numFmtId="0" fontId="18" fillId="6" borderId="0" xfId="0" applyFont="1" applyFill="1" applyAlignment="1">
      <alignment horizontal="center" vertical="center"/>
    </xf>
    <xf numFmtId="0" fontId="0" fillId="6" borderId="0" xfId="0" applyFont="1" applyFill="1"/>
    <xf numFmtId="0" fontId="0" fillId="0" borderId="0" xfId="0" applyFont="1"/>
    <xf numFmtId="0" fontId="19" fillId="0" borderId="0" xfId="0" applyFont="1" applyAlignment="1">
      <alignment horizontal="center"/>
    </xf>
    <xf numFmtId="0" fontId="0" fillId="0" borderId="0" xfId="0" applyFont="1"/>
    <xf numFmtId="0" fontId="20" fillId="5" borderId="19" xfId="0" applyFont="1" applyFill="1" applyBorder="1" applyAlignment="1">
      <alignment horizontal="center" vertical="center" wrapText="1"/>
    </xf>
    <xf numFmtId="0" fontId="0" fillId="9" borderId="0" xfId="0" applyFont="1" applyFill="1"/>
    <xf numFmtId="0" fontId="4" fillId="9" borderId="0" xfId="0" applyFont="1" applyFill="1" applyAlignment="1">
      <alignment horizontal="center" vertical="center"/>
    </xf>
    <xf numFmtId="0" fontId="4" fillId="8" borderId="0" xfId="0" applyFont="1" applyFill="1" applyAlignment="1">
      <alignment horizontal="center" vertical="center"/>
    </xf>
    <xf numFmtId="0" fontId="0" fillId="8" borderId="0" xfId="0" applyFont="1" applyFill="1"/>
    <xf numFmtId="0" fontId="17" fillId="0" borderId="19" xfId="0" applyFont="1" applyBorder="1" applyAlignment="1">
      <alignment vertical="top" wrapText="1"/>
    </xf>
    <xf numFmtId="0" fontId="20" fillId="7" borderId="19" xfId="0" applyFont="1" applyFill="1" applyBorder="1" applyAlignment="1">
      <alignment horizontal="center" vertical="center" wrapText="1"/>
    </xf>
    <xf numFmtId="0" fontId="3" fillId="5" borderId="0" xfId="0" applyFont="1" applyFill="1" applyAlignment="1">
      <alignment horizontal="center" vertical="center" wrapText="1"/>
    </xf>
    <xf numFmtId="0" fontId="3" fillId="5" borderId="0" xfId="0" applyFont="1" applyFill="1" applyAlignment="1">
      <alignment horizontal="center" vertical="center"/>
    </xf>
    <xf numFmtId="0" fontId="3" fillId="5" borderId="0" xfId="0" applyFont="1" applyFill="1" applyAlignment="1">
      <alignment horizontal="center"/>
    </xf>
    <xf numFmtId="0" fontId="5" fillId="5" borderId="0" xfId="0" applyFont="1" applyFill="1" applyAlignment="1">
      <alignment horizontal="center"/>
    </xf>
    <xf numFmtId="0" fontId="5" fillId="5" borderId="0" xfId="3" applyFont="1" applyFill="1" applyAlignment="1">
      <alignment horizontal="center" vertical="center"/>
    </xf>
    <xf numFmtId="0" fontId="5" fillId="5" borderId="0" xfId="3" applyFont="1" applyFill="1" applyAlignment="1">
      <alignment horizontal="center"/>
    </xf>
  </cellXfs>
  <cellStyles count="4">
    <cellStyle name="Currency" xfId="1" builtinId="4"/>
    <cellStyle name="Good" xfId="3" builtinId="26"/>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1" i="0" u="none" strike="noStrike" baseline="0">
                <a:solidFill>
                  <a:schemeClr val="accent6"/>
                </a:solidFill>
              </a:rPr>
              <a:t>CURRENT VS. MODELED TRANSPORTATION COST</a:t>
            </a:r>
            <a:endParaRPr lang="en-CA" b="1">
              <a:solidFill>
                <a:schemeClr val="accent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Dashboard!$C$16</c:f>
              <c:strCache>
                <c:ptCount val="1"/>
                <c:pt idx="0">
                  <c:v>Current Cost</c:v>
                </c:pt>
              </c:strCache>
            </c:strRef>
          </c:tx>
          <c:spPr>
            <a:solidFill>
              <a:schemeClr val="accent6">
                <a:lumMod val="40000"/>
                <a:lumOff val="60000"/>
              </a:schemeClr>
            </a:solidFill>
            <a:ln>
              <a:noFill/>
            </a:ln>
            <a:effectLst/>
          </c:spPr>
          <c:invertIfNegative val="0"/>
          <c:cat>
            <c:strRef>
              <c:f>Dashboard!$B$17:$B$22</c:f>
              <c:strCache>
                <c:ptCount val="6"/>
                <c:pt idx="0">
                  <c:v>Montreal</c:v>
                </c:pt>
                <c:pt idx="1">
                  <c:v>Ottawa</c:v>
                </c:pt>
                <c:pt idx="2">
                  <c:v>Windsor</c:v>
                </c:pt>
                <c:pt idx="3">
                  <c:v>London</c:v>
                </c:pt>
                <c:pt idx="4">
                  <c:v>Quebec City</c:v>
                </c:pt>
                <c:pt idx="5">
                  <c:v>Mississauga</c:v>
                </c:pt>
              </c:strCache>
            </c:strRef>
          </c:cat>
          <c:val>
            <c:numRef>
              <c:f>Dashboard!$C$17:$C$22</c:f>
              <c:numCache>
                <c:formatCode>_("$"* #,##0.00_);_("$"* \(#,##0.00\);_("$"* "-"??_);_(@_)</c:formatCode>
                <c:ptCount val="6"/>
                <c:pt idx="0">
                  <c:v>2480</c:v>
                </c:pt>
                <c:pt idx="1">
                  <c:v>2375</c:v>
                </c:pt>
                <c:pt idx="2">
                  <c:v>3250</c:v>
                </c:pt>
                <c:pt idx="3">
                  <c:v>1235</c:v>
                </c:pt>
                <c:pt idx="4">
                  <c:v>3400</c:v>
                </c:pt>
                <c:pt idx="5">
                  <c:v>860</c:v>
                </c:pt>
              </c:numCache>
            </c:numRef>
          </c:val>
          <c:extLst>
            <c:ext xmlns:c16="http://schemas.microsoft.com/office/drawing/2014/chart" uri="{C3380CC4-5D6E-409C-BE32-E72D297353CC}">
              <c16:uniqueId val="{00000000-A9AA-4797-8281-C6101B5365F0}"/>
            </c:ext>
          </c:extLst>
        </c:ser>
        <c:ser>
          <c:idx val="1"/>
          <c:order val="1"/>
          <c:tx>
            <c:strRef>
              <c:f>Dashboard!$D$16</c:f>
              <c:strCache>
                <c:ptCount val="1"/>
                <c:pt idx="0">
                  <c:v>Modeled Cost</c:v>
                </c:pt>
              </c:strCache>
            </c:strRef>
          </c:tx>
          <c:spPr>
            <a:solidFill>
              <a:schemeClr val="accent3">
                <a:lumMod val="75000"/>
              </a:schemeClr>
            </a:solidFill>
            <a:ln>
              <a:noFill/>
            </a:ln>
            <a:effectLst/>
          </c:spPr>
          <c:invertIfNegative val="0"/>
          <c:cat>
            <c:strRef>
              <c:f>Dashboard!$B$17:$B$22</c:f>
              <c:strCache>
                <c:ptCount val="6"/>
                <c:pt idx="0">
                  <c:v>Montreal</c:v>
                </c:pt>
                <c:pt idx="1">
                  <c:v>Ottawa</c:v>
                </c:pt>
                <c:pt idx="2">
                  <c:v>Windsor</c:v>
                </c:pt>
                <c:pt idx="3">
                  <c:v>London</c:v>
                </c:pt>
                <c:pt idx="4">
                  <c:v>Quebec City</c:v>
                </c:pt>
                <c:pt idx="5">
                  <c:v>Mississauga</c:v>
                </c:pt>
              </c:strCache>
            </c:strRef>
          </c:cat>
          <c:val>
            <c:numRef>
              <c:f>Dashboard!$D$17:$D$22</c:f>
              <c:numCache>
                <c:formatCode>_("$"* #,##0.00_);_("$"* \(#,##0.00\);_("$"* "-"??_);_(@_)</c:formatCode>
                <c:ptCount val="6"/>
                <c:pt idx="0">
                  <c:v>3590.3199999999997</c:v>
                </c:pt>
                <c:pt idx="1">
                  <c:v>2981.44</c:v>
                </c:pt>
                <c:pt idx="2">
                  <c:v>3780.8999999999996</c:v>
                </c:pt>
                <c:pt idx="3">
                  <c:v>1607.6999999999998</c:v>
                </c:pt>
                <c:pt idx="4">
                  <c:v>6193.7999999999993</c:v>
                </c:pt>
                <c:pt idx="5">
                  <c:v>1599</c:v>
                </c:pt>
              </c:numCache>
            </c:numRef>
          </c:val>
          <c:extLst>
            <c:ext xmlns:c16="http://schemas.microsoft.com/office/drawing/2014/chart" uri="{C3380CC4-5D6E-409C-BE32-E72D297353CC}">
              <c16:uniqueId val="{00000001-A9AA-4797-8281-C6101B5365F0}"/>
            </c:ext>
          </c:extLst>
        </c:ser>
        <c:dLbls>
          <c:showLegendKey val="0"/>
          <c:showVal val="0"/>
          <c:showCatName val="0"/>
          <c:showSerName val="0"/>
          <c:showPercent val="0"/>
          <c:showBubbleSize val="0"/>
        </c:dLbls>
        <c:gapWidth val="219"/>
        <c:overlap val="-27"/>
        <c:axId val="2069058159"/>
        <c:axId val="57301871"/>
      </c:barChart>
      <c:catAx>
        <c:axId val="206905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01871"/>
        <c:crosses val="autoZero"/>
        <c:auto val="1"/>
        <c:lblAlgn val="ctr"/>
        <c:lblOffset val="100"/>
        <c:noMultiLvlLbl val="0"/>
      </c:catAx>
      <c:valAx>
        <c:axId val="573018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000" b="0" i="0" u="none" strike="noStrike" baseline="0"/>
                  <a:t>Transportation Cost ($)</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058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1" i="0" u="none" strike="noStrike" baseline="0"/>
              <a:t>REQUIRED DISCOUNT TO MAKE CARRIER SWITCH VIABLE</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Dashboard!$G$16</c:f>
              <c:strCache>
                <c:ptCount val="1"/>
                <c:pt idx="0">
                  <c:v>Break-even Discount</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Dashboard!$F$17:$F$22</c:f>
              <c:strCache>
                <c:ptCount val="6"/>
                <c:pt idx="0">
                  <c:v>Montreal</c:v>
                </c:pt>
                <c:pt idx="1">
                  <c:v>Ottawa</c:v>
                </c:pt>
                <c:pt idx="2">
                  <c:v>Windsor</c:v>
                </c:pt>
                <c:pt idx="3">
                  <c:v>London</c:v>
                </c:pt>
                <c:pt idx="4">
                  <c:v>Quebec City</c:v>
                </c:pt>
                <c:pt idx="5">
                  <c:v>Mississauga</c:v>
                </c:pt>
              </c:strCache>
            </c:strRef>
          </c:cat>
          <c:val>
            <c:numRef>
              <c:f>Dashboard!$G$17:$G$22</c:f>
              <c:numCache>
                <c:formatCode>0.00%</c:formatCode>
                <c:ptCount val="6"/>
                <c:pt idx="0">
                  <c:v>0.30925377125158759</c:v>
                </c:pt>
                <c:pt idx="1">
                  <c:v>0.20340506600837183</c:v>
                </c:pt>
                <c:pt idx="2">
                  <c:v>0.14041630299664087</c:v>
                </c:pt>
                <c:pt idx="3">
                  <c:v>0.23182185731168736</c:v>
                </c:pt>
                <c:pt idx="4">
                  <c:v>0.45106396719299935</c:v>
                </c:pt>
                <c:pt idx="5">
                  <c:v>0.46216385240775482</c:v>
                </c:pt>
              </c:numCache>
            </c:numRef>
          </c:val>
          <c:extLst>
            <c:ext xmlns:c16="http://schemas.microsoft.com/office/drawing/2014/chart" uri="{C3380CC4-5D6E-409C-BE32-E72D297353CC}">
              <c16:uniqueId val="{00000000-A272-4E1D-BCAF-2B2B94E3406A}"/>
            </c:ext>
          </c:extLst>
        </c:ser>
        <c:dLbls>
          <c:showLegendKey val="0"/>
          <c:showVal val="0"/>
          <c:showCatName val="0"/>
          <c:showSerName val="0"/>
          <c:showPercent val="0"/>
          <c:showBubbleSize val="0"/>
        </c:dLbls>
        <c:gapWidth val="219"/>
        <c:overlap val="-27"/>
        <c:axId val="301813935"/>
        <c:axId val="57286511"/>
      </c:barChart>
      <c:catAx>
        <c:axId val="301813935"/>
        <c:scaling>
          <c:orientation val="maxMin"/>
        </c:scaling>
        <c:delete val="0"/>
        <c:axPos val="b"/>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86511"/>
        <c:crosses val="autoZero"/>
        <c:auto val="1"/>
        <c:lblAlgn val="ctr"/>
        <c:lblOffset val="100"/>
        <c:noMultiLvlLbl val="0"/>
      </c:catAx>
      <c:valAx>
        <c:axId val="57286511"/>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81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200" b="1" i="0" u="none" strike="noStrike" baseline="0">
                <a:solidFill>
                  <a:srgbClr val="92D050"/>
                </a:solidFill>
              </a:rPr>
              <a:t>CARRIER SERVICE LEVEL VS. 95% REQUIREMENT</a:t>
            </a:r>
            <a:endParaRPr lang="en-CA" sz="1200" b="1">
              <a:solidFill>
                <a:srgbClr val="92D050"/>
              </a:solidFill>
            </a:endParaRPr>
          </a:p>
        </c:rich>
      </c:tx>
      <c:layout>
        <c:manualLayout>
          <c:xMode val="edge"/>
          <c:yMode val="edge"/>
          <c:x val="0.15921717932495805"/>
          <c:y val="3.21818944324055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Dashboard!$K$32</c:f>
              <c:strCache>
                <c:ptCount val="1"/>
                <c:pt idx="0">
                  <c:v>Service Level</c:v>
                </c:pt>
              </c:strCache>
            </c:strRef>
          </c:tx>
          <c:spPr>
            <a:solidFill>
              <a:schemeClr val="accent6"/>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2-A03E-434B-905A-C32B3C868A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Dashboard!$J$33:$J$35</c:f>
              <c:strCache>
                <c:ptCount val="3"/>
                <c:pt idx="0">
                  <c:v>Carrier A</c:v>
                </c:pt>
                <c:pt idx="1">
                  <c:v>Carrier B</c:v>
                </c:pt>
                <c:pt idx="2">
                  <c:v>Carrier C</c:v>
                </c:pt>
              </c:strCache>
            </c:strRef>
          </c:cat>
          <c:val>
            <c:numRef>
              <c:f>Dashboard!$K$33:$K$35</c:f>
              <c:numCache>
                <c:formatCode>0%</c:formatCode>
                <c:ptCount val="3"/>
                <c:pt idx="0">
                  <c:v>0.96</c:v>
                </c:pt>
                <c:pt idx="1">
                  <c:v>0.93</c:v>
                </c:pt>
                <c:pt idx="2">
                  <c:v>0.98</c:v>
                </c:pt>
              </c:numCache>
            </c:numRef>
          </c:val>
          <c:extLst>
            <c:ext xmlns:c16="http://schemas.microsoft.com/office/drawing/2014/chart" uri="{C3380CC4-5D6E-409C-BE32-E72D297353CC}">
              <c16:uniqueId val="{00000000-A03E-434B-905A-C32B3C868AA4}"/>
            </c:ext>
          </c:extLst>
        </c:ser>
        <c:dLbls>
          <c:showLegendKey val="0"/>
          <c:showVal val="0"/>
          <c:showCatName val="0"/>
          <c:showSerName val="0"/>
          <c:showPercent val="0"/>
          <c:showBubbleSize val="0"/>
        </c:dLbls>
        <c:gapWidth val="219"/>
        <c:axId val="317566175"/>
        <c:axId val="57259151"/>
      </c:barChart>
      <c:lineChart>
        <c:grouping val="standard"/>
        <c:varyColors val="0"/>
        <c:ser>
          <c:idx val="1"/>
          <c:order val="1"/>
          <c:tx>
            <c:strRef>
              <c:f>Dashboard!$L$32</c:f>
              <c:strCache>
                <c:ptCount val="1"/>
                <c:pt idx="0">
                  <c:v>Required Level</c:v>
                </c:pt>
              </c:strCache>
            </c:strRef>
          </c:tx>
          <c:spPr>
            <a:ln w="25400" cap="rnd">
              <a:solidFill>
                <a:schemeClr val="bg2">
                  <a:lumMod val="75000"/>
                </a:schemeClr>
              </a:solidFill>
              <a:round/>
            </a:ln>
            <a:effectLst/>
          </c:spPr>
          <c:marker>
            <c:symbol val="none"/>
          </c:marker>
          <c:cat>
            <c:strRef>
              <c:f>Dashboard!$J$33:$J$35</c:f>
              <c:strCache>
                <c:ptCount val="3"/>
                <c:pt idx="0">
                  <c:v>Carrier A</c:v>
                </c:pt>
                <c:pt idx="1">
                  <c:v>Carrier B</c:v>
                </c:pt>
                <c:pt idx="2">
                  <c:v>Carrier C</c:v>
                </c:pt>
              </c:strCache>
            </c:strRef>
          </c:cat>
          <c:val>
            <c:numRef>
              <c:f>Dashboard!$L$33:$L$35</c:f>
              <c:numCache>
                <c:formatCode>0%</c:formatCode>
                <c:ptCount val="3"/>
                <c:pt idx="0">
                  <c:v>0.95</c:v>
                </c:pt>
                <c:pt idx="1">
                  <c:v>0.95</c:v>
                </c:pt>
                <c:pt idx="2">
                  <c:v>0.95</c:v>
                </c:pt>
              </c:numCache>
            </c:numRef>
          </c:val>
          <c:smooth val="0"/>
          <c:extLst>
            <c:ext xmlns:c16="http://schemas.microsoft.com/office/drawing/2014/chart" uri="{C3380CC4-5D6E-409C-BE32-E72D297353CC}">
              <c16:uniqueId val="{00000001-A03E-434B-905A-C32B3C868AA4}"/>
            </c:ext>
          </c:extLst>
        </c:ser>
        <c:dLbls>
          <c:showLegendKey val="0"/>
          <c:showVal val="0"/>
          <c:showCatName val="0"/>
          <c:showSerName val="0"/>
          <c:showPercent val="0"/>
          <c:showBubbleSize val="0"/>
        </c:dLbls>
        <c:marker val="1"/>
        <c:smooth val="0"/>
        <c:axId val="317566175"/>
        <c:axId val="57259151"/>
      </c:lineChart>
      <c:catAx>
        <c:axId val="31756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59151"/>
        <c:crosses val="autoZero"/>
        <c:auto val="1"/>
        <c:lblAlgn val="ctr"/>
        <c:lblOffset val="100"/>
        <c:noMultiLvlLbl val="0"/>
      </c:catAx>
      <c:valAx>
        <c:axId val="57259151"/>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566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180974</xdr:colOff>
      <xdr:row>24</xdr:row>
      <xdr:rowOff>23812</xdr:rowOff>
    </xdr:from>
    <xdr:to>
      <xdr:col>8</xdr:col>
      <xdr:colOff>19049</xdr:colOff>
      <xdr:row>40</xdr:row>
      <xdr:rowOff>0</xdr:rowOff>
    </xdr:to>
    <xdr:graphicFrame macro="">
      <xdr:nvGraphicFramePr>
        <xdr:cNvPr id="2" name="Chart 1">
          <a:extLst>
            <a:ext uri="{FF2B5EF4-FFF2-40B4-BE49-F238E27FC236}">
              <a16:creationId xmlns:a16="http://schemas.microsoft.com/office/drawing/2014/main" id="{1AA977B2-657B-EBF4-1215-2BFAABB16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69367</xdr:colOff>
      <xdr:row>14</xdr:row>
      <xdr:rowOff>133142</xdr:rowOff>
    </xdr:from>
    <xdr:to>
      <xdr:col>11</xdr:col>
      <xdr:colOff>1011722</xdr:colOff>
      <xdr:row>30</xdr:row>
      <xdr:rowOff>147430</xdr:rowOff>
    </xdr:to>
    <xdr:graphicFrame macro="">
      <xdr:nvGraphicFramePr>
        <xdr:cNvPr id="3" name="Chart 2">
          <a:extLst>
            <a:ext uri="{FF2B5EF4-FFF2-40B4-BE49-F238E27FC236}">
              <a16:creationId xmlns:a16="http://schemas.microsoft.com/office/drawing/2014/main" id="{5BD9B1A3-D8E1-892A-474D-155E2721EE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167930</xdr:colOff>
      <xdr:row>35</xdr:row>
      <xdr:rowOff>100426</xdr:rowOff>
    </xdr:from>
    <xdr:to>
      <xdr:col>11</xdr:col>
      <xdr:colOff>1002197</xdr:colOff>
      <xdr:row>47</xdr:row>
      <xdr:rowOff>182217</xdr:rowOff>
    </xdr:to>
    <xdr:graphicFrame macro="">
      <xdr:nvGraphicFramePr>
        <xdr:cNvPr id="4" name="Chart 3">
          <a:extLst>
            <a:ext uri="{FF2B5EF4-FFF2-40B4-BE49-F238E27FC236}">
              <a16:creationId xmlns:a16="http://schemas.microsoft.com/office/drawing/2014/main" id="{845A2D39-B667-88BB-918A-40D55543A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p1nder S1ngh" refreshedDate="46252.861531944443" createdVersion="8" refreshedVersion="8" minRefreshableVersion="3" recordCount="20" xr:uid="{8A14F3D5-8CF3-41C2-8254-06FDBC7883A7}">
  <cacheSource type="worksheet">
    <worksheetSource ref="A1:O21" sheet="Shipments"/>
  </cacheSource>
  <cacheFields count="15">
    <cacheField name="Shipment_ID" numFmtId="0">
      <sharedItems/>
    </cacheField>
    <cacheField name="Origin" numFmtId="0">
      <sharedItems/>
    </cacheField>
    <cacheField name="Destination" numFmtId="0">
      <sharedItems count="6">
        <s v="Montreal"/>
        <s v="Ottawa"/>
        <s v="Windsor"/>
        <s v="London"/>
        <s v="Quebec City"/>
        <s v="Mississauga"/>
      </sharedItems>
    </cacheField>
    <cacheField name="Mode" numFmtId="0">
      <sharedItems/>
    </cacheField>
    <cacheField name="Carrier" numFmtId="0">
      <sharedItems count="3">
        <s v="Carrier A"/>
        <s v="Carrier B"/>
        <s v="Carrier C"/>
      </sharedItems>
    </cacheField>
    <cacheField name="Miles" numFmtId="0">
      <sharedItems containsSemiMixedTypes="0" containsString="0" containsNumber="1" containsInteger="1" minValue="30" maxValue="800"/>
    </cacheField>
    <cacheField name="Weight_lbs" numFmtId="0">
      <sharedItems containsSemiMixedTypes="0" containsString="0" containsNumber="1" containsInteger="1" minValue="900" maxValue="20000"/>
    </cacheField>
    <cacheField name="Current_Cost" numFmtId="170">
      <sharedItems containsSemiMixedTypes="0" containsString="0" containsNumber="1" containsInteger="1" minValue="275" maxValue="1180"/>
    </cacheField>
    <cacheField name="Accessorial" numFmtId="0">
      <sharedItems containsSemiMixedTypes="0" containsString="0" containsNumber="1" containsInteger="1" minValue="15" maxValue="80"/>
    </cacheField>
    <cacheField name="Service_Level" numFmtId="10">
      <sharedItems containsSemiMixedTypes="0" containsString="0" containsNumber="1" minValue="0.93" maxValue="0.98"/>
    </cacheField>
    <cacheField name="Rate_Key" numFmtId="10">
      <sharedItems/>
    </cacheField>
    <cacheField name="Base_Cost" numFmtId="170">
      <sharedItems containsSemiMixedTypes="0" containsString="0" containsNumber="1" minValue="64.5" maxValue="1720"/>
    </cacheField>
    <cacheField name="Fuel_Cost" numFmtId="170">
      <sharedItems containsSemiMixedTypes="0" containsString="0" containsNumber="1" minValue="10.8" maxValue="336"/>
    </cacheField>
    <cacheField name="Modeled_Cost" numFmtId="170">
      <sharedItems containsSemiMixedTypes="0" containsString="0" containsNumber="1" minValue="93.3" maxValue="2084.6"/>
    </cacheField>
    <cacheField name="Cost_per_Mile" numFmtId="170">
      <sharedItems containsSemiMixedTypes="0" containsString="0" containsNumber="1" minValue="2.4950000000000001" maxValue="3.582189189189189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001"/>
    <s v="Toronto"/>
    <x v="0"/>
    <s v="LTL"/>
    <x v="0"/>
    <n v="340"/>
    <n v="1800"/>
    <n v="620"/>
    <n v="45"/>
    <n v="0.96"/>
    <s v="Carrier A|LTL"/>
    <n v="731"/>
    <n v="131.57999999999998"/>
    <n v="907.57999999999993"/>
    <n v="2.6693529411764705"/>
  </r>
  <r>
    <s v="S002"/>
    <s v="Toronto"/>
    <x v="1"/>
    <s v="LTL"/>
    <x v="1"/>
    <n v="280"/>
    <n v="2200"/>
    <n v="590"/>
    <n v="30"/>
    <n v="0.93"/>
    <s v="Carrier B|LTL"/>
    <n v="560"/>
    <n v="117.6"/>
    <n v="707.6"/>
    <n v="2.5271428571428571"/>
  </r>
  <r>
    <s v="S003"/>
    <s v="Toronto"/>
    <x v="2"/>
    <s v="FTL"/>
    <x v="2"/>
    <n v="370"/>
    <n v="18000"/>
    <n v="1050"/>
    <n v="75"/>
    <n v="0.97"/>
    <s v="Carrier C|FTL"/>
    <n v="1017.5"/>
    <n v="162.80000000000001"/>
    <n v="1255.3"/>
    <n v="3.3927027027027026"/>
  </r>
  <r>
    <s v="S004"/>
    <s v="Toronto"/>
    <x v="3"/>
    <s v="LTL"/>
    <x v="0"/>
    <n v="190"/>
    <n v="1400"/>
    <n v="410"/>
    <n v="25"/>
    <n v="0.97"/>
    <s v="Carrier A|LTL"/>
    <n v="408.5"/>
    <n v="73.53"/>
    <n v="507.03"/>
    <n v="2.6685789473684207"/>
  </r>
  <r>
    <s v="S005"/>
    <s v="Toronto"/>
    <x v="4"/>
    <s v="LTL"/>
    <x v="1"/>
    <n v="800"/>
    <n v="2500"/>
    <n v="1120"/>
    <n v="60"/>
    <n v="0.94"/>
    <s v="Carrier B|LTL"/>
    <n v="1600"/>
    <n v="336"/>
    <n v="1996"/>
    <n v="2.4950000000000001"/>
  </r>
  <r>
    <s v="S006"/>
    <s v="Toronto"/>
    <x v="5"/>
    <s v="LTL"/>
    <x v="2"/>
    <n v="30"/>
    <n v="900"/>
    <n v="285"/>
    <n v="20"/>
    <n v="0.98"/>
    <s v="Carrier C|LTL"/>
    <n v="67.5"/>
    <n v="10.8"/>
    <n v="98.3"/>
    <n v="3.2766666666666664"/>
  </r>
  <r>
    <s v="S007"/>
    <s v="Toronto"/>
    <x v="0"/>
    <s v="LTL"/>
    <x v="1"/>
    <n v="340"/>
    <n v="2100"/>
    <n v="580"/>
    <n v="35"/>
    <n v="0.93"/>
    <s v="Carrier B|LTL"/>
    <n v="680"/>
    <n v="142.79999999999998"/>
    <n v="857.8"/>
    <n v="2.5229411764705882"/>
  </r>
  <r>
    <s v="S008"/>
    <s v="Toronto"/>
    <x v="1"/>
    <s v="LTL"/>
    <x v="0"/>
    <n v="280"/>
    <n v="1900"/>
    <n v="610"/>
    <n v="40"/>
    <n v="0.96"/>
    <s v="Carrier A|LTL"/>
    <n v="602"/>
    <n v="108.36"/>
    <n v="750.36"/>
    <n v="2.6798571428571427"/>
  </r>
  <r>
    <s v="S009"/>
    <s v="Toronto"/>
    <x v="2"/>
    <s v="FTL"/>
    <x v="2"/>
    <n v="370"/>
    <n v="20000"/>
    <n v="1120"/>
    <n v="80"/>
    <n v="0.97"/>
    <s v="Carrier C|FTL"/>
    <n v="1017.5"/>
    <n v="162.80000000000001"/>
    <n v="1260.3"/>
    <n v="3.4062162162162162"/>
  </r>
  <r>
    <s v="S010"/>
    <s v="Toronto"/>
    <x v="3"/>
    <s v="LTL"/>
    <x v="1"/>
    <n v="190"/>
    <n v="1600"/>
    <n v="395"/>
    <n v="30"/>
    <n v="0.94"/>
    <s v="Carrier B|LTL"/>
    <n v="380"/>
    <n v="79.8"/>
    <n v="489.8"/>
    <n v="2.5778947368421052"/>
  </r>
  <r>
    <s v="S011"/>
    <s v="Toronto"/>
    <x v="4"/>
    <s v="LTL"/>
    <x v="0"/>
    <n v="800"/>
    <n v="2800"/>
    <n v="1180"/>
    <n v="55"/>
    <n v="0.96"/>
    <s v="Carrier A|LTL"/>
    <n v="1720"/>
    <n v="309.59999999999997"/>
    <n v="2084.6"/>
    <n v="2.60575"/>
  </r>
  <r>
    <s v="S012"/>
    <s v="Toronto"/>
    <x v="5"/>
    <s v="LTL"/>
    <x v="0"/>
    <n v="30"/>
    <n v="1100"/>
    <n v="300"/>
    <n v="25"/>
    <n v="0.97"/>
    <s v="Carrier A|LTL"/>
    <n v="64.5"/>
    <n v="11.61"/>
    <n v="101.11"/>
    <n v="3.3703333333333334"/>
  </r>
  <r>
    <s v="S013"/>
    <s v="Toronto"/>
    <x v="0"/>
    <s v="LTL"/>
    <x v="2"/>
    <n v="340"/>
    <n v="2300"/>
    <n v="650"/>
    <n v="40"/>
    <n v="0.98"/>
    <s v="Carrier C|LTL"/>
    <n v="765"/>
    <n v="122.4"/>
    <n v="927.4"/>
    <n v="2.7276470588235293"/>
  </r>
  <r>
    <s v="S014"/>
    <s v="Toronto"/>
    <x v="1"/>
    <s v="LTL"/>
    <x v="1"/>
    <n v="280"/>
    <n v="2400"/>
    <n v="605"/>
    <n v="35"/>
    <n v="0.94"/>
    <s v="Carrier B|LTL"/>
    <n v="560"/>
    <n v="117.6"/>
    <n v="712.6"/>
    <n v="2.5449999999999999"/>
  </r>
  <r>
    <s v="S015"/>
    <s v="Toronto"/>
    <x v="2"/>
    <s v="FTL"/>
    <x v="0"/>
    <n v="370"/>
    <n v="19000"/>
    <n v="1080"/>
    <n v="70"/>
    <n v="0.96"/>
    <s v="Carrier A|FTL"/>
    <n v="1073"/>
    <n v="182.41000000000003"/>
    <n v="1325.41"/>
    <n v="3.5821891891891893"/>
  </r>
  <r>
    <s v="S016"/>
    <s v="Toronto"/>
    <x v="3"/>
    <s v="LTL"/>
    <x v="2"/>
    <n v="190"/>
    <n v="1500"/>
    <n v="430"/>
    <n v="25"/>
    <n v="0.98"/>
    <s v="Carrier C|LTL"/>
    <n v="427.5"/>
    <n v="68.400000000000006"/>
    <n v="520.9"/>
    <n v="2.7415789473684211"/>
  </r>
  <r>
    <s v="S017"/>
    <s v="Toronto"/>
    <x v="4"/>
    <s v="LTL"/>
    <x v="1"/>
    <n v="800"/>
    <n v="2700"/>
    <n v="1100"/>
    <n v="65"/>
    <n v="0.93"/>
    <s v="Carrier B|LTL"/>
    <n v="1600"/>
    <n v="336"/>
    <n v="2001"/>
    <n v="2.5012500000000002"/>
  </r>
  <r>
    <s v="S018"/>
    <s v="Toronto"/>
    <x v="5"/>
    <s v="LTL"/>
    <x v="2"/>
    <n v="30"/>
    <n v="1000"/>
    <n v="275"/>
    <n v="15"/>
    <n v="0.98"/>
    <s v="Carrier C|LTL"/>
    <n v="67.5"/>
    <n v="10.8"/>
    <n v="93.3"/>
    <n v="3.11"/>
  </r>
  <r>
    <s v="S019"/>
    <s v="Toronto"/>
    <x v="0"/>
    <s v="LTL"/>
    <x v="0"/>
    <n v="340"/>
    <n v="2000"/>
    <n v="630"/>
    <n v="40"/>
    <n v="0.96"/>
    <s v="Carrier A|LTL"/>
    <n v="731"/>
    <n v="131.57999999999998"/>
    <n v="902.57999999999993"/>
    <n v="2.6546470588235294"/>
  </r>
  <r>
    <s v="S020"/>
    <s v="Toronto"/>
    <x v="1"/>
    <s v="LTL"/>
    <x v="2"/>
    <n v="280"/>
    <n v="2100"/>
    <n v="570"/>
    <n v="30"/>
    <n v="0.98"/>
    <s v="Carrier C|LTL"/>
    <n v="630"/>
    <n v="100.8"/>
    <n v="760.8"/>
    <n v="2.71714285714285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FAFAC3-D074-45A5-81E5-11E2F9201C9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2" firstHeaderRow="1" firstDataRow="3" firstDataCol="1"/>
  <pivotFields count="15">
    <pivotField showAll="0"/>
    <pivotField showAll="0"/>
    <pivotField axis="axisRow" showAll="0">
      <items count="7">
        <item x="3"/>
        <item x="5"/>
        <item x="0"/>
        <item x="1"/>
        <item x="4"/>
        <item x="2"/>
        <item t="default"/>
      </items>
    </pivotField>
    <pivotField showAll="0"/>
    <pivotField axis="axisCol" showAll="0">
      <items count="4">
        <item x="0"/>
        <item x="1"/>
        <item x="2"/>
        <item t="default"/>
      </items>
    </pivotField>
    <pivotField showAll="0"/>
    <pivotField showAll="0"/>
    <pivotField dataField="1" numFmtId="170" showAll="0"/>
    <pivotField showAll="0"/>
    <pivotField numFmtId="10" showAll="0"/>
    <pivotField showAll="0"/>
    <pivotField numFmtId="170" showAll="0"/>
    <pivotField numFmtId="170" showAll="0"/>
    <pivotField dataField="1" numFmtId="170" showAll="0"/>
    <pivotField numFmtId="170" showAll="0"/>
  </pivotFields>
  <rowFields count="1">
    <field x="2"/>
  </rowFields>
  <rowItems count="7">
    <i>
      <x/>
    </i>
    <i>
      <x v="1"/>
    </i>
    <i>
      <x v="2"/>
    </i>
    <i>
      <x v="3"/>
    </i>
    <i>
      <x v="4"/>
    </i>
    <i>
      <x v="5"/>
    </i>
    <i t="grand">
      <x/>
    </i>
  </rowItems>
  <colFields count="2">
    <field x="4"/>
    <field x="-2"/>
  </colFields>
  <colItems count="8">
    <i>
      <x/>
      <x/>
    </i>
    <i r="1" i="1">
      <x v="1"/>
    </i>
    <i>
      <x v="1"/>
      <x/>
    </i>
    <i r="1" i="1">
      <x v="1"/>
    </i>
    <i>
      <x v="2"/>
      <x/>
    </i>
    <i r="1" i="1">
      <x v="1"/>
    </i>
    <i t="grand">
      <x/>
    </i>
    <i t="grand" i="1">
      <x/>
    </i>
  </colItems>
  <dataFields count="2">
    <dataField name="Sum of Current_Cost" fld="7" baseField="0" baseItem="0" numFmtId="170"/>
    <dataField name="Sum of Modeled_Cost" fld="13" baseField="0" baseItem="0" numFmtId="17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1BB1C-E4DC-4672-A273-44920820D5DB}">
  <dimension ref="A3:I12"/>
  <sheetViews>
    <sheetView workbookViewId="0">
      <selection activeCell="C30" sqref="C30"/>
    </sheetView>
  </sheetViews>
  <sheetFormatPr defaultRowHeight="15" x14ac:dyDescent="0.25"/>
  <cols>
    <col min="1" max="1" width="13.42578125" bestFit="1" customWidth="1"/>
    <col min="2" max="2" width="20.140625" bestFit="1" customWidth="1"/>
    <col min="3" max="3" width="21" bestFit="1" customWidth="1"/>
    <col min="4" max="4" width="20.140625" bestFit="1" customWidth="1"/>
    <col min="5" max="5" width="21" bestFit="1" customWidth="1"/>
    <col min="6" max="6" width="20.140625" bestFit="1" customWidth="1"/>
    <col min="7" max="7" width="21" bestFit="1" customWidth="1"/>
    <col min="8" max="8" width="25.140625" bestFit="1" customWidth="1"/>
    <col min="9" max="9" width="26.140625" bestFit="1" customWidth="1"/>
  </cols>
  <sheetData>
    <row r="3" spans="1:9" x14ac:dyDescent="0.25">
      <c r="B3" s="11" t="s">
        <v>56</v>
      </c>
    </row>
    <row r="4" spans="1:9" x14ac:dyDescent="0.25">
      <c r="B4" t="s">
        <v>14</v>
      </c>
      <c r="D4" t="s">
        <v>17</v>
      </c>
      <c r="F4" t="s">
        <v>21</v>
      </c>
      <c r="H4" t="s">
        <v>58</v>
      </c>
      <c r="I4" t="s">
        <v>59</v>
      </c>
    </row>
    <row r="5" spans="1:9" x14ac:dyDescent="0.25">
      <c r="A5" s="11" t="s">
        <v>54</v>
      </c>
      <c r="B5" t="s">
        <v>57</v>
      </c>
      <c r="C5" t="s">
        <v>60</v>
      </c>
      <c r="D5" t="s">
        <v>57</v>
      </c>
      <c r="E5" t="s">
        <v>60</v>
      </c>
      <c r="F5" t="s">
        <v>57</v>
      </c>
      <c r="G5" t="s">
        <v>60</v>
      </c>
    </row>
    <row r="6" spans="1:9" x14ac:dyDescent="0.25">
      <c r="A6" s="12" t="s">
        <v>23</v>
      </c>
      <c r="B6" s="9">
        <v>410</v>
      </c>
      <c r="C6" s="9">
        <v>507.03</v>
      </c>
      <c r="D6" s="9">
        <v>395</v>
      </c>
      <c r="E6" s="9">
        <v>489.8</v>
      </c>
      <c r="F6" s="9">
        <v>430</v>
      </c>
      <c r="G6" s="9">
        <v>520.9</v>
      </c>
      <c r="H6" s="9">
        <v>1235</v>
      </c>
      <c r="I6" s="9">
        <v>1517.73</v>
      </c>
    </row>
    <row r="7" spans="1:9" x14ac:dyDescent="0.25">
      <c r="A7" s="12" t="s">
        <v>27</v>
      </c>
      <c r="B7" s="9">
        <v>300</v>
      </c>
      <c r="C7" s="9">
        <v>101.11</v>
      </c>
      <c r="D7" s="9"/>
      <c r="E7" s="9"/>
      <c r="F7" s="9">
        <v>560</v>
      </c>
      <c r="G7" s="9">
        <v>191.6</v>
      </c>
      <c r="H7" s="9">
        <v>860</v>
      </c>
      <c r="I7" s="9">
        <v>292.70999999999998</v>
      </c>
    </row>
    <row r="8" spans="1:9" x14ac:dyDescent="0.25">
      <c r="A8" s="12" t="s">
        <v>12</v>
      </c>
      <c r="B8" s="9">
        <v>1250</v>
      </c>
      <c r="C8" s="9">
        <v>1810.1599999999999</v>
      </c>
      <c r="D8" s="9">
        <v>580</v>
      </c>
      <c r="E8" s="9">
        <v>857.8</v>
      </c>
      <c r="F8" s="9">
        <v>650</v>
      </c>
      <c r="G8" s="9">
        <v>927.4</v>
      </c>
      <c r="H8" s="9">
        <v>2480</v>
      </c>
      <c r="I8" s="9">
        <v>3595.36</v>
      </c>
    </row>
    <row r="9" spans="1:9" x14ac:dyDescent="0.25">
      <c r="A9" s="12" t="s">
        <v>16</v>
      </c>
      <c r="B9" s="9">
        <v>610</v>
      </c>
      <c r="C9" s="9">
        <v>750.36</v>
      </c>
      <c r="D9" s="9">
        <v>1195</v>
      </c>
      <c r="E9" s="9">
        <v>1420.2</v>
      </c>
      <c r="F9" s="9">
        <v>570</v>
      </c>
      <c r="G9" s="9">
        <v>760.8</v>
      </c>
      <c r="H9" s="9">
        <v>2375</v>
      </c>
      <c r="I9" s="9">
        <v>2931.3599999999997</v>
      </c>
    </row>
    <row r="10" spans="1:9" x14ac:dyDescent="0.25">
      <c r="A10" s="12" t="s">
        <v>25</v>
      </c>
      <c r="B10" s="9">
        <v>1180</v>
      </c>
      <c r="C10" s="9">
        <v>2084.6</v>
      </c>
      <c r="D10" s="9">
        <v>2220</v>
      </c>
      <c r="E10" s="9">
        <v>3997</v>
      </c>
      <c r="F10" s="9"/>
      <c r="G10" s="9"/>
      <c r="H10" s="9">
        <v>3400</v>
      </c>
      <c r="I10" s="9">
        <v>6081.6</v>
      </c>
    </row>
    <row r="11" spans="1:9" x14ac:dyDescent="0.25">
      <c r="A11" s="12" t="s">
        <v>19</v>
      </c>
      <c r="B11" s="9">
        <v>1080</v>
      </c>
      <c r="C11" s="9">
        <v>1325.41</v>
      </c>
      <c r="D11" s="9"/>
      <c r="E11" s="9"/>
      <c r="F11" s="9">
        <v>2170</v>
      </c>
      <c r="G11" s="9">
        <v>2515.6</v>
      </c>
      <c r="H11" s="9">
        <v>3250</v>
      </c>
      <c r="I11" s="9">
        <v>3841.01</v>
      </c>
    </row>
    <row r="12" spans="1:9" x14ac:dyDescent="0.25">
      <c r="A12" s="12" t="s">
        <v>55</v>
      </c>
      <c r="B12" s="9">
        <v>4830</v>
      </c>
      <c r="C12" s="9">
        <v>6578.67</v>
      </c>
      <c r="D12" s="9">
        <v>4390</v>
      </c>
      <c r="E12" s="9">
        <v>6764.8</v>
      </c>
      <c r="F12" s="9">
        <v>4380</v>
      </c>
      <c r="G12" s="9">
        <v>4916.2999999999993</v>
      </c>
      <c r="H12" s="9">
        <v>13600</v>
      </c>
      <c r="I12" s="9">
        <v>18259.77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CD548-E6D8-43C6-90CF-CEC50B6505FD}">
  <dimension ref="A1:O21"/>
  <sheetViews>
    <sheetView tabSelected="1" workbookViewId="0">
      <selection activeCell="F38" sqref="F38"/>
    </sheetView>
  </sheetViews>
  <sheetFormatPr defaultRowHeight="15" x14ac:dyDescent="0.25"/>
  <cols>
    <col min="1" max="1" width="12.5703125" bestFit="1" customWidth="1"/>
    <col min="2" max="2" width="7.85546875" bestFit="1" customWidth="1"/>
    <col min="3" max="3" width="17.85546875" customWidth="1"/>
    <col min="4" max="4" width="11.140625" customWidth="1"/>
    <col min="5" max="5" width="8.5703125" bestFit="1" customWidth="1"/>
    <col min="6" max="6" width="11.5703125" customWidth="1"/>
    <col min="7" max="7" width="22.42578125" customWidth="1"/>
    <col min="8" max="8" width="12.85546875" customWidth="1"/>
    <col min="9" max="9" width="17.85546875" customWidth="1"/>
    <col min="10" max="11" width="14" customWidth="1"/>
    <col min="12" max="12" width="10" bestFit="1" customWidth="1"/>
    <col min="13" max="14" width="12.85546875" customWidth="1"/>
    <col min="15" max="15" width="14.85546875" customWidth="1"/>
  </cols>
  <sheetData>
    <row r="1" spans="1:15" s="88" customFormat="1" ht="30" x14ac:dyDescent="0.25">
      <c r="A1" s="87" t="s">
        <v>0</v>
      </c>
      <c r="B1" s="87" t="s">
        <v>1</v>
      </c>
      <c r="C1" s="87" t="s">
        <v>2</v>
      </c>
      <c r="D1" s="87" t="s">
        <v>3</v>
      </c>
      <c r="E1" s="87" t="s">
        <v>4</v>
      </c>
      <c r="F1" s="87" t="s">
        <v>5</v>
      </c>
      <c r="G1" s="87" t="s">
        <v>6</v>
      </c>
      <c r="H1" s="87" t="s">
        <v>7</v>
      </c>
      <c r="I1" s="87" t="s">
        <v>8</v>
      </c>
      <c r="J1" s="87" t="s">
        <v>9</v>
      </c>
      <c r="K1" s="87" t="s">
        <v>49</v>
      </c>
      <c r="L1" s="88" t="s">
        <v>45</v>
      </c>
      <c r="M1" s="88" t="s">
        <v>46</v>
      </c>
      <c r="N1" s="88" t="s">
        <v>47</v>
      </c>
      <c r="O1" s="88" t="s">
        <v>48</v>
      </c>
    </row>
    <row r="2" spans="1:15" x14ac:dyDescent="0.25">
      <c r="A2" s="4" t="s">
        <v>10</v>
      </c>
      <c r="B2" s="4" t="s">
        <v>11</v>
      </c>
      <c r="C2" s="4" t="s">
        <v>12</v>
      </c>
      <c r="D2" s="4" t="s">
        <v>13</v>
      </c>
      <c r="E2" s="4" t="s">
        <v>14</v>
      </c>
      <c r="F2" s="2">
        <v>340</v>
      </c>
      <c r="G2" s="2">
        <v>1800</v>
      </c>
      <c r="H2" s="10">
        <v>620</v>
      </c>
      <c r="I2" s="2">
        <v>45</v>
      </c>
      <c r="J2" s="6">
        <v>0.96</v>
      </c>
      <c r="K2" s="6" t="str">
        <f>E2&amp;"|"&amp;D2</f>
        <v>Carrier A|LTL</v>
      </c>
      <c r="L2" s="9">
        <f>F2*_xlfn.XLOOKUP(K2,'Carrier Rates'!H:H,'Carrier Rates'!C:C)</f>
        <v>731</v>
      </c>
      <c r="M2" s="9">
        <f>L2*_xlfn.XLOOKUP(K2,'Carrier Rates'!H:H,'Carrier Rates'!D:D)</f>
        <v>131.57999999999998</v>
      </c>
      <c r="N2" s="9">
        <f>L2+M2+I2</f>
        <v>907.57999999999993</v>
      </c>
      <c r="O2" s="9">
        <f>N2/F2</f>
        <v>2.6693529411764705</v>
      </c>
    </row>
    <row r="3" spans="1:15" x14ac:dyDescent="0.25">
      <c r="A3" s="4" t="s">
        <v>15</v>
      </c>
      <c r="B3" s="4" t="s">
        <v>11</v>
      </c>
      <c r="C3" s="4" t="s">
        <v>16</v>
      </c>
      <c r="D3" s="4" t="s">
        <v>13</v>
      </c>
      <c r="E3" s="4" t="s">
        <v>17</v>
      </c>
      <c r="F3" s="2">
        <v>280</v>
      </c>
      <c r="G3" s="2">
        <v>2200</v>
      </c>
      <c r="H3" s="10">
        <v>590</v>
      </c>
      <c r="I3" s="2">
        <v>30</v>
      </c>
      <c r="J3" s="6">
        <v>0.93</v>
      </c>
      <c r="K3" s="6" t="str">
        <f t="shared" ref="K3:K21" si="0">E3&amp;"|"&amp;D3</f>
        <v>Carrier B|LTL</v>
      </c>
      <c r="L3" s="9">
        <f>F3*_xlfn.XLOOKUP(K3,'Carrier Rates'!H:H,'Carrier Rates'!C:C)</f>
        <v>560</v>
      </c>
      <c r="M3" s="9">
        <f>L3*_xlfn.XLOOKUP(K3,'Carrier Rates'!H:H,'Carrier Rates'!D:D)</f>
        <v>117.6</v>
      </c>
      <c r="N3" s="9">
        <f t="shared" ref="N3:N21" si="1">L3+M3+I3</f>
        <v>707.6</v>
      </c>
      <c r="O3" s="9">
        <f t="shared" ref="O3:O21" si="2">N3/F3</f>
        <v>2.5271428571428571</v>
      </c>
    </row>
    <row r="4" spans="1:15" x14ac:dyDescent="0.25">
      <c r="A4" s="4" t="s">
        <v>18</v>
      </c>
      <c r="B4" s="4" t="s">
        <v>11</v>
      </c>
      <c r="C4" s="4" t="s">
        <v>19</v>
      </c>
      <c r="D4" s="4" t="s">
        <v>20</v>
      </c>
      <c r="E4" s="4" t="s">
        <v>21</v>
      </c>
      <c r="F4" s="2">
        <v>370</v>
      </c>
      <c r="G4" s="2">
        <v>18000</v>
      </c>
      <c r="H4" s="10">
        <v>1050</v>
      </c>
      <c r="I4" s="2">
        <v>75</v>
      </c>
      <c r="J4" s="6">
        <v>0.97</v>
      </c>
      <c r="K4" s="6" t="str">
        <f t="shared" si="0"/>
        <v>Carrier C|FTL</v>
      </c>
      <c r="L4" s="9">
        <f>F4*_xlfn.XLOOKUP(K4,'Carrier Rates'!H:H,'Carrier Rates'!C:C)</f>
        <v>1017.5</v>
      </c>
      <c r="M4" s="9">
        <f>L4*_xlfn.XLOOKUP(K4,'Carrier Rates'!H:H,'Carrier Rates'!D:D)</f>
        <v>162.80000000000001</v>
      </c>
      <c r="N4" s="9">
        <f t="shared" si="1"/>
        <v>1255.3</v>
      </c>
      <c r="O4" s="9">
        <f t="shared" si="2"/>
        <v>3.3927027027027026</v>
      </c>
    </row>
    <row r="5" spans="1:15" x14ac:dyDescent="0.25">
      <c r="A5" s="4" t="s">
        <v>22</v>
      </c>
      <c r="B5" s="4" t="s">
        <v>11</v>
      </c>
      <c r="C5" s="4" t="s">
        <v>23</v>
      </c>
      <c r="D5" s="4" t="s">
        <v>13</v>
      </c>
      <c r="E5" s="4" t="s">
        <v>14</v>
      </c>
      <c r="F5" s="2">
        <v>190</v>
      </c>
      <c r="G5" s="2">
        <v>1400</v>
      </c>
      <c r="H5" s="10">
        <v>410</v>
      </c>
      <c r="I5" s="2">
        <v>25</v>
      </c>
      <c r="J5" s="6">
        <v>0.97</v>
      </c>
      <c r="K5" s="6" t="str">
        <f t="shared" si="0"/>
        <v>Carrier A|LTL</v>
      </c>
      <c r="L5" s="9">
        <f>F5*_xlfn.XLOOKUP(K5,'Carrier Rates'!H:H,'Carrier Rates'!C:C)</f>
        <v>408.5</v>
      </c>
      <c r="M5" s="9">
        <f>L5*_xlfn.XLOOKUP(K5,'Carrier Rates'!H:H,'Carrier Rates'!D:D)</f>
        <v>73.53</v>
      </c>
      <c r="N5" s="9">
        <f t="shared" si="1"/>
        <v>507.03</v>
      </c>
      <c r="O5" s="9">
        <f t="shared" si="2"/>
        <v>2.6685789473684207</v>
      </c>
    </row>
    <row r="6" spans="1:15" x14ac:dyDescent="0.25">
      <c r="A6" s="4" t="s">
        <v>24</v>
      </c>
      <c r="B6" s="4" t="s">
        <v>11</v>
      </c>
      <c r="C6" s="4" t="s">
        <v>25</v>
      </c>
      <c r="D6" s="4" t="s">
        <v>13</v>
      </c>
      <c r="E6" s="4" t="s">
        <v>17</v>
      </c>
      <c r="F6" s="2">
        <v>800</v>
      </c>
      <c r="G6" s="2">
        <v>2500</v>
      </c>
      <c r="H6" s="10">
        <v>1120</v>
      </c>
      <c r="I6" s="2">
        <v>60</v>
      </c>
      <c r="J6" s="6">
        <v>0.94</v>
      </c>
      <c r="K6" s="6" t="str">
        <f t="shared" si="0"/>
        <v>Carrier B|LTL</v>
      </c>
      <c r="L6" s="9">
        <f>F6*_xlfn.XLOOKUP(K6,'Carrier Rates'!H:H,'Carrier Rates'!C:C)</f>
        <v>1600</v>
      </c>
      <c r="M6" s="9">
        <f>L6*_xlfn.XLOOKUP(K6,'Carrier Rates'!H:H,'Carrier Rates'!D:D)</f>
        <v>336</v>
      </c>
      <c r="N6" s="9">
        <f t="shared" si="1"/>
        <v>1996</v>
      </c>
      <c r="O6" s="9">
        <f t="shared" si="2"/>
        <v>2.4950000000000001</v>
      </c>
    </row>
    <row r="7" spans="1:15" x14ac:dyDescent="0.25">
      <c r="A7" s="4" t="s">
        <v>26</v>
      </c>
      <c r="B7" s="4" t="s">
        <v>11</v>
      </c>
      <c r="C7" s="4" t="s">
        <v>27</v>
      </c>
      <c r="D7" s="4" t="s">
        <v>13</v>
      </c>
      <c r="E7" s="4" t="s">
        <v>21</v>
      </c>
      <c r="F7" s="2">
        <v>30</v>
      </c>
      <c r="G7" s="2">
        <v>900</v>
      </c>
      <c r="H7" s="10">
        <v>285</v>
      </c>
      <c r="I7" s="2">
        <v>20</v>
      </c>
      <c r="J7" s="6">
        <v>0.98</v>
      </c>
      <c r="K7" s="6" t="str">
        <f t="shared" si="0"/>
        <v>Carrier C|LTL</v>
      </c>
      <c r="L7" s="9">
        <f>F7*_xlfn.XLOOKUP(K7,'Carrier Rates'!H:H,'Carrier Rates'!C:C)</f>
        <v>67.5</v>
      </c>
      <c r="M7" s="9">
        <f>L7*_xlfn.XLOOKUP(K7,'Carrier Rates'!H:H,'Carrier Rates'!D:D)</f>
        <v>10.8</v>
      </c>
      <c r="N7" s="9">
        <f t="shared" si="1"/>
        <v>98.3</v>
      </c>
      <c r="O7" s="9">
        <f t="shared" si="2"/>
        <v>3.2766666666666664</v>
      </c>
    </row>
    <row r="8" spans="1:15" x14ac:dyDescent="0.25">
      <c r="A8" s="4" t="s">
        <v>28</v>
      </c>
      <c r="B8" s="4" t="s">
        <v>11</v>
      </c>
      <c r="C8" s="4" t="s">
        <v>12</v>
      </c>
      <c r="D8" s="4" t="s">
        <v>13</v>
      </c>
      <c r="E8" s="4" t="s">
        <v>17</v>
      </c>
      <c r="F8" s="2">
        <v>340</v>
      </c>
      <c r="G8" s="2">
        <v>2100</v>
      </c>
      <c r="H8" s="10">
        <v>580</v>
      </c>
      <c r="I8" s="2">
        <v>35</v>
      </c>
      <c r="J8" s="6">
        <v>0.93</v>
      </c>
      <c r="K8" s="6" t="str">
        <f t="shared" si="0"/>
        <v>Carrier B|LTL</v>
      </c>
      <c r="L8" s="9">
        <f>F8*_xlfn.XLOOKUP(K8,'Carrier Rates'!H:H,'Carrier Rates'!C:C)</f>
        <v>680</v>
      </c>
      <c r="M8" s="9">
        <f>L8*_xlfn.XLOOKUP(K8,'Carrier Rates'!H:H,'Carrier Rates'!D:D)</f>
        <v>142.79999999999998</v>
      </c>
      <c r="N8" s="9">
        <f t="shared" si="1"/>
        <v>857.8</v>
      </c>
      <c r="O8" s="9">
        <f t="shared" si="2"/>
        <v>2.5229411764705882</v>
      </c>
    </row>
    <row r="9" spans="1:15" x14ac:dyDescent="0.25">
      <c r="A9" s="4" t="s">
        <v>29</v>
      </c>
      <c r="B9" s="4" t="s">
        <v>11</v>
      </c>
      <c r="C9" s="4" t="s">
        <v>16</v>
      </c>
      <c r="D9" s="4" t="s">
        <v>13</v>
      </c>
      <c r="E9" s="4" t="s">
        <v>14</v>
      </c>
      <c r="F9" s="2">
        <v>280</v>
      </c>
      <c r="G9" s="2">
        <v>1900</v>
      </c>
      <c r="H9" s="10">
        <v>610</v>
      </c>
      <c r="I9" s="2">
        <v>40</v>
      </c>
      <c r="J9" s="6">
        <v>0.96</v>
      </c>
      <c r="K9" s="6" t="str">
        <f t="shared" si="0"/>
        <v>Carrier A|LTL</v>
      </c>
      <c r="L9" s="9">
        <f>F9*_xlfn.XLOOKUP(K9,'Carrier Rates'!H:H,'Carrier Rates'!C:C)</f>
        <v>602</v>
      </c>
      <c r="M9" s="9">
        <f>L9*_xlfn.XLOOKUP(K9,'Carrier Rates'!H:H,'Carrier Rates'!D:D)</f>
        <v>108.36</v>
      </c>
      <c r="N9" s="9">
        <f t="shared" si="1"/>
        <v>750.36</v>
      </c>
      <c r="O9" s="9">
        <f t="shared" si="2"/>
        <v>2.6798571428571427</v>
      </c>
    </row>
    <row r="10" spans="1:15" x14ac:dyDescent="0.25">
      <c r="A10" s="4" t="s">
        <v>30</v>
      </c>
      <c r="B10" s="4" t="s">
        <v>11</v>
      </c>
      <c r="C10" s="4" t="s">
        <v>19</v>
      </c>
      <c r="D10" s="4" t="s">
        <v>20</v>
      </c>
      <c r="E10" s="4" t="s">
        <v>21</v>
      </c>
      <c r="F10" s="2">
        <v>370</v>
      </c>
      <c r="G10" s="2">
        <v>20000</v>
      </c>
      <c r="H10" s="10">
        <v>1120</v>
      </c>
      <c r="I10" s="2">
        <v>80</v>
      </c>
      <c r="J10" s="6">
        <v>0.97</v>
      </c>
      <c r="K10" s="6" t="str">
        <f t="shared" si="0"/>
        <v>Carrier C|FTL</v>
      </c>
      <c r="L10" s="9">
        <f>F10*_xlfn.XLOOKUP(K10,'Carrier Rates'!H:H,'Carrier Rates'!C:C)</f>
        <v>1017.5</v>
      </c>
      <c r="M10" s="9">
        <f>L10*_xlfn.XLOOKUP(K10,'Carrier Rates'!H:H,'Carrier Rates'!D:D)</f>
        <v>162.80000000000001</v>
      </c>
      <c r="N10" s="9">
        <f t="shared" si="1"/>
        <v>1260.3</v>
      </c>
      <c r="O10" s="9">
        <f t="shared" si="2"/>
        <v>3.4062162162162162</v>
      </c>
    </row>
    <row r="11" spans="1:15" x14ac:dyDescent="0.25">
      <c r="A11" s="4" t="s">
        <v>31</v>
      </c>
      <c r="B11" s="4" t="s">
        <v>11</v>
      </c>
      <c r="C11" s="4" t="s">
        <v>23</v>
      </c>
      <c r="D11" s="4" t="s">
        <v>13</v>
      </c>
      <c r="E11" s="4" t="s">
        <v>17</v>
      </c>
      <c r="F11" s="2">
        <v>190</v>
      </c>
      <c r="G11" s="2">
        <v>1600</v>
      </c>
      <c r="H11" s="10">
        <v>395</v>
      </c>
      <c r="I11" s="2">
        <v>30</v>
      </c>
      <c r="J11" s="6">
        <v>0.94</v>
      </c>
      <c r="K11" s="6" t="str">
        <f t="shared" si="0"/>
        <v>Carrier B|LTL</v>
      </c>
      <c r="L11" s="9">
        <f>F11*_xlfn.XLOOKUP(K11,'Carrier Rates'!H:H,'Carrier Rates'!C:C)</f>
        <v>380</v>
      </c>
      <c r="M11" s="9">
        <f>L11*_xlfn.XLOOKUP(K11,'Carrier Rates'!H:H,'Carrier Rates'!D:D)</f>
        <v>79.8</v>
      </c>
      <c r="N11" s="9">
        <f t="shared" si="1"/>
        <v>489.8</v>
      </c>
      <c r="O11" s="9">
        <f t="shared" si="2"/>
        <v>2.5778947368421052</v>
      </c>
    </row>
    <row r="12" spans="1:15" x14ac:dyDescent="0.25">
      <c r="A12" s="4" t="s">
        <v>32</v>
      </c>
      <c r="B12" s="4" t="s">
        <v>11</v>
      </c>
      <c r="C12" s="4" t="s">
        <v>25</v>
      </c>
      <c r="D12" s="4" t="s">
        <v>13</v>
      </c>
      <c r="E12" s="4" t="s">
        <v>14</v>
      </c>
      <c r="F12" s="2">
        <v>800</v>
      </c>
      <c r="G12" s="2">
        <v>2800</v>
      </c>
      <c r="H12" s="10">
        <v>1180</v>
      </c>
      <c r="I12" s="2">
        <v>55</v>
      </c>
      <c r="J12" s="6">
        <v>0.96</v>
      </c>
      <c r="K12" s="6" t="str">
        <f t="shared" si="0"/>
        <v>Carrier A|LTL</v>
      </c>
      <c r="L12" s="9">
        <f>F12*_xlfn.XLOOKUP(K12,'Carrier Rates'!H:H,'Carrier Rates'!C:C)</f>
        <v>1720</v>
      </c>
      <c r="M12" s="9">
        <f>L12*_xlfn.XLOOKUP(K12,'Carrier Rates'!H:H,'Carrier Rates'!D:D)</f>
        <v>309.59999999999997</v>
      </c>
      <c r="N12" s="9">
        <f t="shared" si="1"/>
        <v>2084.6</v>
      </c>
      <c r="O12" s="9">
        <f t="shared" si="2"/>
        <v>2.60575</v>
      </c>
    </row>
    <row r="13" spans="1:15" x14ac:dyDescent="0.25">
      <c r="A13" s="4" t="s">
        <v>33</v>
      </c>
      <c r="B13" s="4" t="s">
        <v>11</v>
      </c>
      <c r="C13" s="4" t="s">
        <v>27</v>
      </c>
      <c r="D13" s="4" t="s">
        <v>13</v>
      </c>
      <c r="E13" s="4" t="s">
        <v>14</v>
      </c>
      <c r="F13" s="2">
        <v>30</v>
      </c>
      <c r="G13" s="2">
        <v>1100</v>
      </c>
      <c r="H13" s="10">
        <v>300</v>
      </c>
      <c r="I13" s="2">
        <v>25</v>
      </c>
      <c r="J13" s="6">
        <v>0.97</v>
      </c>
      <c r="K13" s="6" t="str">
        <f t="shared" si="0"/>
        <v>Carrier A|LTL</v>
      </c>
      <c r="L13" s="9">
        <f>F13*_xlfn.XLOOKUP(K13,'Carrier Rates'!H:H,'Carrier Rates'!C:C)</f>
        <v>64.5</v>
      </c>
      <c r="M13" s="9">
        <f>L13*_xlfn.XLOOKUP(K13,'Carrier Rates'!H:H,'Carrier Rates'!D:D)</f>
        <v>11.61</v>
      </c>
      <c r="N13" s="9">
        <f t="shared" si="1"/>
        <v>101.11</v>
      </c>
      <c r="O13" s="9">
        <f t="shared" si="2"/>
        <v>3.3703333333333334</v>
      </c>
    </row>
    <row r="14" spans="1:15" x14ac:dyDescent="0.25">
      <c r="A14" s="4" t="s">
        <v>34</v>
      </c>
      <c r="B14" s="4" t="s">
        <v>11</v>
      </c>
      <c r="C14" s="4" t="s">
        <v>12</v>
      </c>
      <c r="D14" s="4" t="s">
        <v>13</v>
      </c>
      <c r="E14" s="4" t="s">
        <v>21</v>
      </c>
      <c r="F14" s="2">
        <v>340</v>
      </c>
      <c r="G14" s="2">
        <v>2300</v>
      </c>
      <c r="H14" s="10">
        <v>650</v>
      </c>
      <c r="I14" s="2">
        <v>40</v>
      </c>
      <c r="J14" s="6">
        <v>0.98</v>
      </c>
      <c r="K14" s="6" t="str">
        <f t="shared" si="0"/>
        <v>Carrier C|LTL</v>
      </c>
      <c r="L14" s="9">
        <f>F14*_xlfn.XLOOKUP(K14,'Carrier Rates'!H:H,'Carrier Rates'!C:C)</f>
        <v>765</v>
      </c>
      <c r="M14" s="9">
        <f>L14*_xlfn.XLOOKUP(K14,'Carrier Rates'!H:H,'Carrier Rates'!D:D)</f>
        <v>122.4</v>
      </c>
      <c r="N14" s="9">
        <f t="shared" si="1"/>
        <v>927.4</v>
      </c>
      <c r="O14" s="9">
        <f t="shared" si="2"/>
        <v>2.7276470588235293</v>
      </c>
    </row>
    <row r="15" spans="1:15" x14ac:dyDescent="0.25">
      <c r="A15" s="4" t="s">
        <v>35</v>
      </c>
      <c r="B15" s="4" t="s">
        <v>11</v>
      </c>
      <c r="C15" s="4" t="s">
        <v>16</v>
      </c>
      <c r="D15" s="4" t="s">
        <v>13</v>
      </c>
      <c r="E15" s="4" t="s">
        <v>17</v>
      </c>
      <c r="F15" s="2">
        <v>280</v>
      </c>
      <c r="G15" s="2">
        <v>2400</v>
      </c>
      <c r="H15" s="10">
        <v>605</v>
      </c>
      <c r="I15" s="2">
        <v>35</v>
      </c>
      <c r="J15" s="6">
        <v>0.94</v>
      </c>
      <c r="K15" s="6" t="str">
        <f t="shared" si="0"/>
        <v>Carrier B|LTL</v>
      </c>
      <c r="L15" s="9">
        <f>F15*_xlfn.XLOOKUP(K15,'Carrier Rates'!H:H,'Carrier Rates'!C:C)</f>
        <v>560</v>
      </c>
      <c r="M15" s="9">
        <f>L15*_xlfn.XLOOKUP(K15,'Carrier Rates'!H:H,'Carrier Rates'!D:D)</f>
        <v>117.6</v>
      </c>
      <c r="N15" s="9">
        <f t="shared" si="1"/>
        <v>712.6</v>
      </c>
      <c r="O15" s="9">
        <f t="shared" si="2"/>
        <v>2.5449999999999999</v>
      </c>
    </row>
    <row r="16" spans="1:15" x14ac:dyDescent="0.25">
      <c r="A16" s="4" t="s">
        <v>36</v>
      </c>
      <c r="B16" s="4" t="s">
        <v>11</v>
      </c>
      <c r="C16" s="4" t="s">
        <v>19</v>
      </c>
      <c r="D16" s="4" t="s">
        <v>20</v>
      </c>
      <c r="E16" s="4" t="s">
        <v>14</v>
      </c>
      <c r="F16" s="2">
        <v>370</v>
      </c>
      <c r="G16" s="2">
        <v>19000</v>
      </c>
      <c r="H16" s="10">
        <v>1080</v>
      </c>
      <c r="I16" s="2">
        <v>70</v>
      </c>
      <c r="J16" s="6">
        <v>0.96</v>
      </c>
      <c r="K16" s="6" t="str">
        <f t="shared" si="0"/>
        <v>Carrier A|FTL</v>
      </c>
      <c r="L16" s="9">
        <f>F16*_xlfn.XLOOKUP(K16,'Carrier Rates'!H:H,'Carrier Rates'!C:C)</f>
        <v>1073</v>
      </c>
      <c r="M16" s="9">
        <f>L16*_xlfn.XLOOKUP(K16,'Carrier Rates'!H:H,'Carrier Rates'!D:D)</f>
        <v>182.41000000000003</v>
      </c>
      <c r="N16" s="9">
        <f t="shared" si="1"/>
        <v>1325.41</v>
      </c>
      <c r="O16" s="9">
        <f t="shared" si="2"/>
        <v>3.5821891891891893</v>
      </c>
    </row>
    <row r="17" spans="1:15" x14ac:dyDescent="0.25">
      <c r="A17" s="4" t="s">
        <v>37</v>
      </c>
      <c r="B17" s="4" t="s">
        <v>11</v>
      </c>
      <c r="C17" s="4" t="s">
        <v>23</v>
      </c>
      <c r="D17" s="4" t="s">
        <v>13</v>
      </c>
      <c r="E17" s="4" t="s">
        <v>21</v>
      </c>
      <c r="F17" s="2">
        <v>190</v>
      </c>
      <c r="G17" s="2">
        <v>1500</v>
      </c>
      <c r="H17" s="10">
        <v>430</v>
      </c>
      <c r="I17" s="2">
        <v>25</v>
      </c>
      <c r="J17" s="6">
        <v>0.98</v>
      </c>
      <c r="K17" s="6" t="str">
        <f t="shared" si="0"/>
        <v>Carrier C|LTL</v>
      </c>
      <c r="L17" s="9">
        <f>F17*_xlfn.XLOOKUP(K17,'Carrier Rates'!H:H,'Carrier Rates'!C:C)</f>
        <v>427.5</v>
      </c>
      <c r="M17" s="9">
        <f>L17*_xlfn.XLOOKUP(K17,'Carrier Rates'!H:H,'Carrier Rates'!D:D)</f>
        <v>68.400000000000006</v>
      </c>
      <c r="N17" s="9">
        <f t="shared" si="1"/>
        <v>520.9</v>
      </c>
      <c r="O17" s="9">
        <f t="shared" si="2"/>
        <v>2.7415789473684211</v>
      </c>
    </row>
    <row r="18" spans="1:15" x14ac:dyDescent="0.25">
      <c r="A18" s="4" t="s">
        <v>38</v>
      </c>
      <c r="B18" s="4" t="s">
        <v>11</v>
      </c>
      <c r="C18" s="4" t="s">
        <v>25</v>
      </c>
      <c r="D18" s="4" t="s">
        <v>13</v>
      </c>
      <c r="E18" s="4" t="s">
        <v>17</v>
      </c>
      <c r="F18" s="2">
        <v>800</v>
      </c>
      <c r="G18" s="2">
        <v>2700</v>
      </c>
      <c r="H18" s="10">
        <v>1100</v>
      </c>
      <c r="I18" s="2">
        <v>65</v>
      </c>
      <c r="J18" s="6">
        <v>0.93</v>
      </c>
      <c r="K18" s="6" t="str">
        <f t="shared" si="0"/>
        <v>Carrier B|LTL</v>
      </c>
      <c r="L18" s="9">
        <f>F18*_xlfn.XLOOKUP(K18,'Carrier Rates'!H:H,'Carrier Rates'!C:C)</f>
        <v>1600</v>
      </c>
      <c r="M18" s="9">
        <f>L18*_xlfn.XLOOKUP(K18,'Carrier Rates'!H:H,'Carrier Rates'!D:D)</f>
        <v>336</v>
      </c>
      <c r="N18" s="9">
        <f t="shared" si="1"/>
        <v>2001</v>
      </c>
      <c r="O18" s="9">
        <f t="shared" si="2"/>
        <v>2.5012500000000002</v>
      </c>
    </row>
    <row r="19" spans="1:15" x14ac:dyDescent="0.25">
      <c r="A19" s="4" t="s">
        <v>39</v>
      </c>
      <c r="B19" s="4" t="s">
        <v>11</v>
      </c>
      <c r="C19" s="4" t="s">
        <v>27</v>
      </c>
      <c r="D19" s="4" t="s">
        <v>13</v>
      </c>
      <c r="E19" s="4" t="s">
        <v>21</v>
      </c>
      <c r="F19" s="2">
        <v>30</v>
      </c>
      <c r="G19" s="2">
        <v>1000</v>
      </c>
      <c r="H19" s="10">
        <v>275</v>
      </c>
      <c r="I19" s="2">
        <v>15</v>
      </c>
      <c r="J19" s="6">
        <v>0.98</v>
      </c>
      <c r="K19" s="6" t="str">
        <f t="shared" si="0"/>
        <v>Carrier C|LTL</v>
      </c>
      <c r="L19" s="9">
        <f>F19*_xlfn.XLOOKUP(K19,'Carrier Rates'!H:H,'Carrier Rates'!C:C)</f>
        <v>67.5</v>
      </c>
      <c r="M19" s="9">
        <f>L19*_xlfn.XLOOKUP(K19,'Carrier Rates'!H:H,'Carrier Rates'!D:D)</f>
        <v>10.8</v>
      </c>
      <c r="N19" s="9">
        <f t="shared" si="1"/>
        <v>93.3</v>
      </c>
      <c r="O19" s="9">
        <f t="shared" si="2"/>
        <v>3.11</v>
      </c>
    </row>
    <row r="20" spans="1:15" x14ac:dyDescent="0.25">
      <c r="A20" s="4" t="s">
        <v>40</v>
      </c>
      <c r="B20" s="4" t="s">
        <v>11</v>
      </c>
      <c r="C20" s="4" t="s">
        <v>12</v>
      </c>
      <c r="D20" s="4" t="s">
        <v>13</v>
      </c>
      <c r="E20" s="4" t="s">
        <v>14</v>
      </c>
      <c r="F20" s="2">
        <v>340</v>
      </c>
      <c r="G20" s="2">
        <v>2000</v>
      </c>
      <c r="H20" s="10">
        <v>630</v>
      </c>
      <c r="I20" s="2">
        <v>40</v>
      </c>
      <c r="J20" s="6">
        <v>0.96</v>
      </c>
      <c r="K20" s="6" t="str">
        <f t="shared" si="0"/>
        <v>Carrier A|LTL</v>
      </c>
      <c r="L20" s="9">
        <f>F20*_xlfn.XLOOKUP(K20,'Carrier Rates'!H:H,'Carrier Rates'!C:C)</f>
        <v>731</v>
      </c>
      <c r="M20" s="9">
        <f>L20*_xlfn.XLOOKUP(K20,'Carrier Rates'!H:H,'Carrier Rates'!D:D)</f>
        <v>131.57999999999998</v>
      </c>
      <c r="N20" s="9">
        <f t="shared" si="1"/>
        <v>902.57999999999993</v>
      </c>
      <c r="O20" s="9">
        <f t="shared" si="2"/>
        <v>2.6546470588235294</v>
      </c>
    </row>
    <row r="21" spans="1:15" x14ac:dyDescent="0.25">
      <c r="A21" s="4" t="s">
        <v>41</v>
      </c>
      <c r="B21" s="4" t="s">
        <v>11</v>
      </c>
      <c r="C21" s="4" t="s">
        <v>16</v>
      </c>
      <c r="D21" s="4" t="s">
        <v>13</v>
      </c>
      <c r="E21" s="4" t="s">
        <v>21</v>
      </c>
      <c r="F21" s="2">
        <v>280</v>
      </c>
      <c r="G21" s="2">
        <v>2100</v>
      </c>
      <c r="H21" s="10">
        <v>570</v>
      </c>
      <c r="I21" s="2">
        <v>30</v>
      </c>
      <c r="J21" s="6">
        <v>0.98</v>
      </c>
      <c r="K21" s="6" t="str">
        <f t="shared" si="0"/>
        <v>Carrier C|LTL</v>
      </c>
      <c r="L21" s="9">
        <f>F21*_xlfn.XLOOKUP(K21,'Carrier Rates'!H:H,'Carrier Rates'!C:C)</f>
        <v>630</v>
      </c>
      <c r="M21" s="9">
        <f>L21*_xlfn.XLOOKUP(K21,'Carrier Rates'!H:H,'Carrier Rates'!D:D)</f>
        <v>100.8</v>
      </c>
      <c r="N21" s="9">
        <f t="shared" si="1"/>
        <v>760.8</v>
      </c>
      <c r="O21" s="9">
        <f t="shared" si="2"/>
        <v>2.7171428571428571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D12D2-287F-45C6-96A4-FBBE8B09B2DC}">
  <dimension ref="A1:H6"/>
  <sheetViews>
    <sheetView workbookViewId="0">
      <selection activeCell="E16" sqref="E16"/>
    </sheetView>
  </sheetViews>
  <sheetFormatPr defaultRowHeight="15" x14ac:dyDescent="0.25"/>
  <cols>
    <col min="3" max="3" width="17" customWidth="1"/>
    <col min="4" max="4" width="21.140625" customWidth="1"/>
    <col min="5" max="5" width="19" customWidth="1"/>
    <col min="6" max="6" width="19.28515625" customWidth="1"/>
    <col min="7" max="7" width="22.85546875" customWidth="1"/>
    <col min="8" max="8" width="12.42578125" bestFit="1" customWidth="1"/>
  </cols>
  <sheetData>
    <row r="1" spans="1:8" s="90" customFormat="1" x14ac:dyDescent="0.25">
      <c r="A1" s="87" t="s">
        <v>4</v>
      </c>
      <c r="B1" s="87" t="s">
        <v>3</v>
      </c>
      <c r="C1" s="87" t="s">
        <v>42</v>
      </c>
      <c r="D1" s="87" t="s">
        <v>43</v>
      </c>
      <c r="E1" s="87" t="s">
        <v>44</v>
      </c>
      <c r="F1" s="87" t="s">
        <v>8</v>
      </c>
      <c r="G1" s="87" t="s">
        <v>9</v>
      </c>
      <c r="H1" s="89" t="s">
        <v>49</v>
      </c>
    </row>
    <row r="2" spans="1:8" x14ac:dyDescent="0.25">
      <c r="A2" s="4" t="s">
        <v>14</v>
      </c>
      <c r="B2" s="4" t="s">
        <v>13</v>
      </c>
      <c r="C2" s="2">
        <v>2.15</v>
      </c>
      <c r="D2" s="7">
        <v>0.18</v>
      </c>
      <c r="E2" s="2">
        <v>450</v>
      </c>
      <c r="F2" s="2">
        <v>35</v>
      </c>
      <c r="G2" s="7">
        <v>0.96</v>
      </c>
      <c r="H2" t="str">
        <f>A2&amp;"|"&amp;B2</f>
        <v>Carrier A|LTL</v>
      </c>
    </row>
    <row r="3" spans="1:8" x14ac:dyDescent="0.25">
      <c r="A3" s="4" t="s">
        <v>17</v>
      </c>
      <c r="B3" s="4" t="s">
        <v>13</v>
      </c>
      <c r="C3" s="2">
        <v>2</v>
      </c>
      <c r="D3" s="7">
        <v>0.21</v>
      </c>
      <c r="E3" s="2">
        <v>475</v>
      </c>
      <c r="F3" s="2">
        <v>30</v>
      </c>
      <c r="G3" s="7">
        <v>0.93</v>
      </c>
      <c r="H3" t="str">
        <f t="shared" ref="H3:H6" si="0">A3&amp;"|"&amp;B3</f>
        <v>Carrier B|LTL</v>
      </c>
    </row>
    <row r="4" spans="1:8" x14ac:dyDescent="0.25">
      <c r="A4" s="4" t="s">
        <v>21</v>
      </c>
      <c r="B4" s="4" t="s">
        <v>13</v>
      </c>
      <c r="C4" s="2">
        <v>2.25</v>
      </c>
      <c r="D4" s="7">
        <v>0.16</v>
      </c>
      <c r="E4" s="2">
        <v>425</v>
      </c>
      <c r="F4" s="2">
        <v>40</v>
      </c>
      <c r="G4" s="7">
        <v>0.98</v>
      </c>
      <c r="H4" t="str">
        <f t="shared" si="0"/>
        <v>Carrier C|LTL</v>
      </c>
    </row>
    <row r="5" spans="1:8" x14ac:dyDescent="0.25">
      <c r="A5" s="4" t="s">
        <v>14</v>
      </c>
      <c r="B5" s="4" t="s">
        <v>20</v>
      </c>
      <c r="C5" s="2">
        <v>2.9</v>
      </c>
      <c r="D5" s="7">
        <v>0.17</v>
      </c>
      <c r="E5" s="2">
        <v>900</v>
      </c>
      <c r="F5" s="2">
        <v>70</v>
      </c>
      <c r="G5" s="7">
        <v>0.96</v>
      </c>
      <c r="H5" t="str">
        <f t="shared" si="0"/>
        <v>Carrier A|FTL</v>
      </c>
    </row>
    <row r="6" spans="1:8" x14ac:dyDescent="0.25">
      <c r="A6" s="4" t="s">
        <v>21</v>
      </c>
      <c r="B6" s="4" t="s">
        <v>20</v>
      </c>
      <c r="C6" s="2">
        <v>2.75</v>
      </c>
      <c r="D6" s="7">
        <v>0.16</v>
      </c>
      <c r="E6" s="2">
        <v>850</v>
      </c>
      <c r="F6" s="2">
        <v>80</v>
      </c>
      <c r="G6" s="7">
        <v>0.98</v>
      </c>
      <c r="H6" t="str">
        <f t="shared" si="0"/>
        <v>Carrier C|FTL</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DF48F-27AE-44BA-B874-B1BA6E0E908C}">
  <dimension ref="A1:J58"/>
  <sheetViews>
    <sheetView topLeftCell="A25" zoomScaleNormal="100" workbookViewId="0">
      <selection activeCell="G40" sqref="G40:G41"/>
    </sheetView>
  </sheetViews>
  <sheetFormatPr defaultRowHeight="15" x14ac:dyDescent="0.25"/>
  <cols>
    <col min="1" max="1" width="34.5703125" bestFit="1" customWidth="1"/>
    <col min="2" max="2" width="14.5703125" customWidth="1"/>
    <col min="3" max="3" width="16.42578125" customWidth="1"/>
    <col min="4" max="4" width="14.42578125" bestFit="1" customWidth="1"/>
    <col min="5" max="5" width="15.5703125" customWidth="1"/>
    <col min="6" max="6" width="21" bestFit="1" customWidth="1"/>
    <col min="7" max="7" width="24.28515625" customWidth="1"/>
    <col min="8" max="8" width="17.7109375" customWidth="1"/>
    <col min="9" max="9" width="11.85546875" bestFit="1" customWidth="1"/>
  </cols>
  <sheetData>
    <row r="1" spans="1:10" x14ac:dyDescent="0.25">
      <c r="A1" s="91" t="s">
        <v>76</v>
      </c>
      <c r="B1" s="91"/>
      <c r="C1" s="91"/>
      <c r="D1" s="91"/>
      <c r="E1" s="91"/>
      <c r="F1" s="91"/>
      <c r="G1" s="91"/>
      <c r="H1" s="91"/>
      <c r="I1" s="91"/>
    </row>
    <row r="2" spans="1:10" x14ac:dyDescent="0.25">
      <c r="A2" t="s">
        <v>50</v>
      </c>
      <c r="B2">
        <f>SUM(Shipments!H2:H21)</f>
        <v>13600</v>
      </c>
    </row>
    <row r="3" spans="1:10" x14ac:dyDescent="0.25">
      <c r="A3" t="s">
        <v>51</v>
      </c>
      <c r="B3">
        <f>SUM(H10:H15)</f>
        <v>19753.16</v>
      </c>
    </row>
    <row r="4" spans="1:10" x14ac:dyDescent="0.25">
      <c r="A4" t="s">
        <v>78</v>
      </c>
      <c r="B4">
        <f>B2-B3</f>
        <v>-6153.16</v>
      </c>
    </row>
    <row r="5" spans="1:10" x14ac:dyDescent="0.25">
      <c r="A5" t="s">
        <v>52</v>
      </c>
      <c r="B5" s="13">
        <f>AVERAGE(Shipments!J2:J21)</f>
        <v>0.95950000000000002</v>
      </c>
    </row>
    <row r="6" spans="1:10" x14ac:dyDescent="0.25">
      <c r="A6" t="s">
        <v>53</v>
      </c>
      <c r="B6">
        <f>COUNTA(Shipments!A2:A21)</f>
        <v>20</v>
      </c>
    </row>
    <row r="8" spans="1:10" x14ac:dyDescent="0.25">
      <c r="A8" s="92" t="s">
        <v>77</v>
      </c>
      <c r="B8" s="92"/>
      <c r="C8" s="92"/>
      <c r="D8" s="92"/>
      <c r="E8" s="92"/>
      <c r="F8" s="92"/>
      <c r="G8" s="92"/>
      <c r="H8" s="92"/>
      <c r="I8" s="92"/>
      <c r="J8" s="92"/>
    </row>
    <row r="9" spans="1:10" s="8" customFormat="1" x14ac:dyDescent="0.25">
      <c r="A9" s="1" t="s">
        <v>2</v>
      </c>
      <c r="B9" s="1" t="s">
        <v>61</v>
      </c>
      <c r="C9" s="1" t="s">
        <v>62</v>
      </c>
      <c r="D9" s="1" t="s">
        <v>63</v>
      </c>
      <c r="E9" s="1" t="s">
        <v>64</v>
      </c>
      <c r="F9" s="1" t="s">
        <v>65</v>
      </c>
      <c r="G9" s="1" t="s">
        <v>66</v>
      </c>
      <c r="H9" s="1" t="s">
        <v>67</v>
      </c>
      <c r="I9" s="8" t="s">
        <v>68</v>
      </c>
      <c r="J9" s="8" t="s">
        <v>69</v>
      </c>
    </row>
    <row r="10" spans="1:10" x14ac:dyDescent="0.25">
      <c r="A10" s="4" t="s">
        <v>12</v>
      </c>
      <c r="B10" s="2">
        <f>COUNTIF(Shipments!$C:$C,A10)</f>
        <v>4</v>
      </c>
      <c r="C10" s="2">
        <f>SUMIF(Shipments!$C:$C,A10,Shipments!$H:$H)</f>
        <v>2480</v>
      </c>
      <c r="D10" s="2">
        <f>B10*(MAX(AVERAGEIF(Shipments!$C:$C,$A10,Shipments!$F:$F)*2.15,450)*(1+18%)+35)</f>
        <v>3590.3199999999997</v>
      </c>
      <c r="E10" s="2">
        <f>B10*(MAX(AVERAGEIF(Shipments!$C:$C,$A10,Shipments!$F:$F)*2,475)*(1+21%)+30)</f>
        <v>3411.2</v>
      </c>
      <c r="F10" s="2">
        <f>B10*(MAX(AVERAGEIF(Shipments!$C:$C,$A10,Shipments!$F:$F)*2.25,425)*(1+16%)+40)</f>
        <v>3709.6</v>
      </c>
      <c r="G10" s="4" t="str">
        <f>IF(D10&lt;=F10,"Carrier A","Carrier C")</f>
        <v>Carrier A</v>
      </c>
      <c r="H10" s="2">
        <f>MIN(D10,F10)</f>
        <v>3590.3199999999997</v>
      </c>
      <c r="I10" s="9">
        <f>C10-H10</f>
        <v>-1110.3199999999997</v>
      </c>
      <c r="J10" s="13">
        <f>I10/C10</f>
        <v>-0.44770967741935475</v>
      </c>
    </row>
    <row r="11" spans="1:10" x14ac:dyDescent="0.25">
      <c r="A11" s="4" t="s">
        <v>16</v>
      </c>
      <c r="B11" s="2">
        <f>COUNTIF(Shipments!$C:$C,A11)</f>
        <v>4</v>
      </c>
      <c r="C11" s="2">
        <f>SUMIF(Shipments!$C:$C,A11,Shipments!$H:$H)</f>
        <v>2375</v>
      </c>
      <c r="D11" s="2">
        <f>B11*(MAX(AVERAGEIF(Shipments!$C:$C,$A11,Shipments!$F:$F)*2.15,450)*(1+18%)+35)</f>
        <v>2981.44</v>
      </c>
      <c r="E11" s="2">
        <f>B11*(MAX(AVERAGEIF(Shipments!$C:$C,$A11,Shipments!$F:$F)*2,475)*(1+21%)+30)</f>
        <v>2830.4</v>
      </c>
      <c r="F11" s="2">
        <f>B11*(MAX(AVERAGEIF(Shipments!$C:$C,$A11,Shipments!$F:$F)*2.25,425)*(1+16%)+40)</f>
        <v>3083.2</v>
      </c>
      <c r="G11" s="4" t="str">
        <f t="shared" ref="G11:G15" si="0">IF(D11&lt;=F11,"Carrier A","Carrier C")</f>
        <v>Carrier A</v>
      </c>
      <c r="H11" s="2">
        <f t="shared" ref="H11:H15" si="1">MIN(D11,F11)</f>
        <v>2981.44</v>
      </c>
      <c r="I11" s="9">
        <f>C11-H11</f>
        <v>-606.44000000000005</v>
      </c>
      <c r="J11" s="13">
        <f>I11/C11</f>
        <v>-0.25534315789473688</v>
      </c>
    </row>
    <row r="12" spans="1:10" x14ac:dyDescent="0.25">
      <c r="A12" s="4" t="s">
        <v>19</v>
      </c>
      <c r="B12" s="2">
        <f>COUNTIF(Shipments!$C:$C,A12)</f>
        <v>3</v>
      </c>
      <c r="C12" s="2">
        <f>SUMIF(Shipments!$C:$C,A12,Shipments!$H:$H)</f>
        <v>3250</v>
      </c>
      <c r="D12" s="2">
        <f>B12*(MAX(AVERAGEIF(Shipments!$C:$C,$A12,Shipments!$F:$F)*2.9,900)*(1+17%)+70)</f>
        <v>3976.2299999999996</v>
      </c>
      <c r="E12" s="2" t="s">
        <v>70</v>
      </c>
      <c r="F12" s="2">
        <f>B12*(MAX(AVERAGEIF(Shipments!$C:$C,$A12,Shipments!$F:$F)*2.75,850)*(1+16%)+80)</f>
        <v>3780.8999999999996</v>
      </c>
      <c r="G12" s="4" t="str">
        <f t="shared" si="0"/>
        <v>Carrier C</v>
      </c>
      <c r="H12" s="2">
        <f t="shared" si="1"/>
        <v>3780.8999999999996</v>
      </c>
      <c r="I12" s="9">
        <f>C12-H12</f>
        <v>-530.89999999999964</v>
      </c>
      <c r="J12" s="13">
        <f>I12/C12</f>
        <v>-0.16335384615384604</v>
      </c>
    </row>
    <row r="13" spans="1:10" x14ac:dyDescent="0.25">
      <c r="A13" s="4" t="s">
        <v>23</v>
      </c>
      <c r="B13" s="2">
        <f>COUNTIF(Shipments!$C:$C,A13)</f>
        <v>3</v>
      </c>
      <c r="C13" s="2">
        <f>SUMIF(Shipments!$C:$C,A13,Shipments!$H:$H)</f>
        <v>1235</v>
      </c>
      <c r="D13" s="2">
        <f>B13*(MAX(AVERAGEIF(Shipments!$C:$C,$A13,Shipments!$F:$F)*2.15,450)*(1+18%)+35)</f>
        <v>1698</v>
      </c>
      <c r="E13" s="2">
        <f>B13*(MAX(AVERAGEIF(Shipments!$C:$C,$A13,Shipments!$F:$F)*2,475)*(1+21%)+30)</f>
        <v>1814.25</v>
      </c>
      <c r="F13" s="2">
        <f>B13*(MAX(AVERAGEIF(Shipments!$C:$C,$A13,Shipments!$F:$F)*2.25,425)*(1+16%)+40)</f>
        <v>1607.6999999999998</v>
      </c>
      <c r="G13" s="4" t="str">
        <f t="shared" si="0"/>
        <v>Carrier C</v>
      </c>
      <c r="H13" s="2">
        <f t="shared" si="1"/>
        <v>1607.6999999999998</v>
      </c>
      <c r="I13" s="9">
        <f>C13-H13</f>
        <v>-372.69999999999982</v>
      </c>
      <c r="J13" s="13">
        <f>I13/C13</f>
        <v>-0.30178137651821846</v>
      </c>
    </row>
    <row r="14" spans="1:10" x14ac:dyDescent="0.25">
      <c r="A14" s="4" t="s">
        <v>25</v>
      </c>
      <c r="B14" s="2">
        <f>COUNTIF(Shipments!$C:$C,A14)</f>
        <v>3</v>
      </c>
      <c r="C14" s="2">
        <f>SUMIF(Shipments!$C:$C,A14,Shipments!$H:$H)</f>
        <v>3400</v>
      </c>
      <c r="D14" s="2">
        <f>B14*(MAX(AVERAGEIF(Shipments!$C:$C,$A14,Shipments!$F:$F)*2.15,450)*(1+18%)+35)</f>
        <v>6193.7999999999993</v>
      </c>
      <c r="E14" s="2">
        <f>B14*(MAX(AVERAGEIF(Shipments!$C:$C,$A14,Shipments!$F:$F)*2,475)*(1+21%)+30)</f>
        <v>5898</v>
      </c>
      <c r="F14" s="2">
        <f>B14*(MAX(AVERAGEIF(Shipments!$C:$C,$A14,Shipments!$F:$F)*2.25,425)*(1+16%)+40)</f>
        <v>6384</v>
      </c>
      <c r="G14" s="4" t="str">
        <f t="shared" si="0"/>
        <v>Carrier A</v>
      </c>
      <c r="H14" s="2">
        <f t="shared" si="1"/>
        <v>6193.7999999999993</v>
      </c>
      <c r="I14" s="9">
        <f>C14-H14</f>
        <v>-2793.7999999999993</v>
      </c>
      <c r="J14" s="13">
        <f>I14/C14</f>
        <v>-0.82170588235294095</v>
      </c>
    </row>
    <row r="15" spans="1:10" x14ac:dyDescent="0.25">
      <c r="A15" s="4" t="s">
        <v>27</v>
      </c>
      <c r="B15" s="2">
        <f>COUNTIF(Shipments!$C:$C,A15)</f>
        <v>3</v>
      </c>
      <c r="C15" s="2">
        <f>SUMIF(Shipments!$C:$C,A15,Shipments!$H:$H)</f>
        <v>860</v>
      </c>
      <c r="D15" s="2">
        <f>B15*(MAX(AVERAGEIF(Shipments!$C:$C,$A15,Shipments!$F:$F)*2.15,450)*(1+18%)+35)</f>
        <v>1698</v>
      </c>
      <c r="E15" s="2">
        <f>B15*(MAX(AVERAGEIF(Shipments!$C:$C,$A15,Shipments!$F:$F)*2,475)*(1+21%)+30)</f>
        <v>1814.25</v>
      </c>
      <c r="F15" s="2">
        <f>B15*(MAX(AVERAGEIF(Shipments!$C:$C,$A15,Shipments!$F:$F)*2.25,425)*(1+16%)+40)</f>
        <v>1599</v>
      </c>
      <c r="G15" s="4" t="str">
        <f t="shared" si="0"/>
        <v>Carrier C</v>
      </c>
      <c r="H15" s="2">
        <f t="shared" si="1"/>
        <v>1599</v>
      </c>
      <c r="I15" s="9">
        <f>C15-H15</f>
        <v>-739</v>
      </c>
      <c r="J15" s="13">
        <f>I15/C15</f>
        <v>-0.8593023255813953</v>
      </c>
    </row>
    <row r="17" spans="1:6" x14ac:dyDescent="0.25">
      <c r="A17" s="92" t="s">
        <v>79</v>
      </c>
      <c r="B17" s="92"/>
      <c r="C17" s="92"/>
      <c r="D17" s="92"/>
      <c r="E17" s="92"/>
      <c r="F17" s="92"/>
    </row>
    <row r="18" spans="1:6" s="15" customFormat="1" x14ac:dyDescent="0.25">
      <c r="A18" s="5" t="s">
        <v>2</v>
      </c>
      <c r="B18" s="5" t="s">
        <v>62</v>
      </c>
      <c r="C18" s="5" t="s">
        <v>71</v>
      </c>
      <c r="D18" s="5" t="s">
        <v>80</v>
      </c>
      <c r="E18" s="5" t="s">
        <v>81</v>
      </c>
      <c r="F18" s="5" t="s">
        <v>72</v>
      </c>
    </row>
    <row r="19" spans="1:6" x14ac:dyDescent="0.25">
      <c r="A19" t="s">
        <v>12</v>
      </c>
      <c r="B19" s="9">
        <f>C10</f>
        <v>2480</v>
      </c>
      <c r="C19" s="9">
        <f>H10*90%</f>
        <v>3231.288</v>
      </c>
      <c r="D19" s="9">
        <f>B19-C19</f>
        <v>-751.28800000000001</v>
      </c>
      <c r="E19" s="13">
        <f>D19/B19</f>
        <v>-0.30293870967741937</v>
      </c>
      <c r="F19" t="str">
        <f>IF(D19&gt;0,"Implement negotiated rate","Retain current network")</f>
        <v>Retain current network</v>
      </c>
    </row>
    <row r="20" spans="1:6" x14ac:dyDescent="0.25">
      <c r="A20" t="s">
        <v>16</v>
      </c>
      <c r="B20" s="9">
        <f t="shared" ref="B20:B23" si="2">C11</f>
        <v>2375</v>
      </c>
      <c r="C20" s="9">
        <f t="shared" ref="C20:C24" si="3">H11*90%</f>
        <v>2683.2960000000003</v>
      </c>
      <c r="D20" s="9">
        <f t="shared" ref="D20:D24" si="4">B20-C20</f>
        <v>-308.29600000000028</v>
      </c>
      <c r="E20" s="13">
        <f t="shared" ref="E20:E24" si="5">D20/B20</f>
        <v>-0.12980884210526328</v>
      </c>
      <c r="F20" t="str">
        <f t="shared" ref="F20:F24" si="6">IF(D20&gt;0,"Implement negotiated rate","Retain current network")</f>
        <v>Retain current network</v>
      </c>
    </row>
    <row r="21" spans="1:6" x14ac:dyDescent="0.25">
      <c r="A21" t="s">
        <v>19</v>
      </c>
      <c r="B21" s="9">
        <f t="shared" si="2"/>
        <v>3250</v>
      </c>
      <c r="C21" s="9">
        <f t="shared" si="3"/>
        <v>3402.81</v>
      </c>
      <c r="D21" s="9">
        <f t="shared" si="4"/>
        <v>-152.80999999999995</v>
      </c>
      <c r="E21" s="13">
        <f t="shared" si="5"/>
        <v>-4.7018461538461523E-2</v>
      </c>
      <c r="F21" t="str">
        <f t="shared" si="6"/>
        <v>Retain current network</v>
      </c>
    </row>
    <row r="22" spans="1:6" x14ac:dyDescent="0.25">
      <c r="A22" t="s">
        <v>23</v>
      </c>
      <c r="B22" s="9">
        <f t="shared" si="2"/>
        <v>1235</v>
      </c>
      <c r="C22" s="9">
        <f t="shared" si="3"/>
        <v>1446.9299999999998</v>
      </c>
      <c r="D22" s="9">
        <f t="shared" si="4"/>
        <v>-211.92999999999984</v>
      </c>
      <c r="E22" s="13">
        <f t="shared" si="5"/>
        <v>-0.17160323886639664</v>
      </c>
      <c r="F22" t="str">
        <f t="shared" si="6"/>
        <v>Retain current network</v>
      </c>
    </row>
    <row r="23" spans="1:6" x14ac:dyDescent="0.25">
      <c r="A23" t="s">
        <v>25</v>
      </c>
      <c r="B23" s="9">
        <f t="shared" si="2"/>
        <v>3400</v>
      </c>
      <c r="C23" s="9">
        <f t="shared" si="3"/>
        <v>5574.4199999999992</v>
      </c>
      <c r="D23" s="9">
        <f t="shared" si="4"/>
        <v>-2174.4199999999992</v>
      </c>
      <c r="E23" s="13">
        <f t="shared" si="5"/>
        <v>-0.63953529411764676</v>
      </c>
      <c r="F23" t="str">
        <f t="shared" si="6"/>
        <v>Retain current network</v>
      </c>
    </row>
    <row r="24" spans="1:6" x14ac:dyDescent="0.25">
      <c r="A24" t="s">
        <v>27</v>
      </c>
      <c r="B24" s="9">
        <f>C15</f>
        <v>860</v>
      </c>
      <c r="C24" s="9">
        <f t="shared" si="3"/>
        <v>1439.1000000000001</v>
      </c>
      <c r="D24" s="9">
        <f t="shared" si="4"/>
        <v>-579.10000000000014</v>
      </c>
      <c r="E24" s="13">
        <f t="shared" si="5"/>
        <v>-0.67337209302325596</v>
      </c>
      <c r="F24" t="str">
        <f t="shared" si="6"/>
        <v>Retain current network</v>
      </c>
    </row>
    <row r="25" spans="1:6" x14ac:dyDescent="0.25">
      <c r="A25" s="15" t="s">
        <v>85</v>
      </c>
    </row>
    <row r="26" spans="1:6" x14ac:dyDescent="0.25">
      <c r="A26" s="92" t="s">
        <v>75</v>
      </c>
      <c r="B26" s="92"/>
      <c r="C26" s="92"/>
      <c r="D26" s="92"/>
      <c r="E26" s="92"/>
      <c r="F26" s="92"/>
    </row>
    <row r="27" spans="1:6" ht="30" x14ac:dyDescent="0.25">
      <c r="A27" s="1" t="s">
        <v>2</v>
      </c>
      <c r="B27" s="3" t="s">
        <v>62</v>
      </c>
      <c r="C27" s="3" t="s">
        <v>82</v>
      </c>
      <c r="D27" s="3" t="s">
        <v>83</v>
      </c>
      <c r="E27" s="3" t="s">
        <v>84</v>
      </c>
    </row>
    <row r="28" spans="1:6" x14ac:dyDescent="0.25">
      <c r="A28" s="4" t="s">
        <v>12</v>
      </c>
      <c r="B28" s="14">
        <f>C10</f>
        <v>2480</v>
      </c>
      <c r="C28" s="14">
        <f>H10*95%</f>
        <v>3410.8039999999996</v>
      </c>
      <c r="D28" s="14">
        <f>H10*90%</f>
        <v>3231.288</v>
      </c>
      <c r="E28" s="14">
        <f>H10*85%</f>
        <v>3051.7719999999995</v>
      </c>
    </row>
    <row r="29" spans="1:6" x14ac:dyDescent="0.25">
      <c r="A29" s="4" t="s">
        <v>16</v>
      </c>
      <c r="B29" s="14">
        <f t="shared" ref="B29:B33" si="7">C11</f>
        <v>2375</v>
      </c>
      <c r="C29" s="14">
        <f t="shared" ref="C29:C33" si="8">H11*95%</f>
        <v>2832.3679999999999</v>
      </c>
      <c r="D29" s="14">
        <f t="shared" ref="D29:D33" si="9">H11*90%</f>
        <v>2683.2960000000003</v>
      </c>
      <c r="E29" s="14">
        <f t="shared" ref="E29:E33" si="10">H11*85%</f>
        <v>2534.2240000000002</v>
      </c>
    </row>
    <row r="30" spans="1:6" x14ac:dyDescent="0.25">
      <c r="A30" s="4" t="s">
        <v>19</v>
      </c>
      <c r="B30" s="14">
        <f t="shared" si="7"/>
        <v>3250</v>
      </c>
      <c r="C30" s="14">
        <f t="shared" si="8"/>
        <v>3591.8549999999996</v>
      </c>
      <c r="D30" s="14">
        <f t="shared" si="9"/>
        <v>3402.81</v>
      </c>
      <c r="E30" s="14">
        <f t="shared" si="10"/>
        <v>3213.7649999999994</v>
      </c>
    </row>
    <row r="31" spans="1:6" x14ac:dyDescent="0.25">
      <c r="A31" s="4" t="s">
        <v>23</v>
      </c>
      <c r="B31" s="14">
        <f t="shared" si="7"/>
        <v>1235</v>
      </c>
      <c r="C31" s="14">
        <f t="shared" si="8"/>
        <v>1527.3149999999998</v>
      </c>
      <c r="D31" s="14">
        <f t="shared" si="9"/>
        <v>1446.9299999999998</v>
      </c>
      <c r="E31" s="14">
        <f t="shared" si="10"/>
        <v>1366.5449999999998</v>
      </c>
    </row>
    <row r="32" spans="1:6" x14ac:dyDescent="0.25">
      <c r="A32" s="4" t="s">
        <v>25</v>
      </c>
      <c r="B32" s="14">
        <f t="shared" si="7"/>
        <v>3400</v>
      </c>
      <c r="C32" s="14">
        <f t="shared" si="8"/>
        <v>5884.1099999999988</v>
      </c>
      <c r="D32" s="14">
        <f t="shared" si="9"/>
        <v>5574.4199999999992</v>
      </c>
      <c r="E32" s="14">
        <f t="shared" si="10"/>
        <v>5264.73</v>
      </c>
    </row>
    <row r="33" spans="1:5" x14ac:dyDescent="0.25">
      <c r="A33" s="4" t="s">
        <v>27</v>
      </c>
      <c r="B33" s="14">
        <f t="shared" si="7"/>
        <v>860</v>
      </c>
      <c r="C33" s="14">
        <f t="shared" si="8"/>
        <v>1519.05</v>
      </c>
      <c r="D33" s="14">
        <f t="shared" si="9"/>
        <v>1439.1000000000001</v>
      </c>
      <c r="E33" s="14">
        <f t="shared" si="10"/>
        <v>1359.1499999999999</v>
      </c>
    </row>
    <row r="35" spans="1:5" x14ac:dyDescent="0.25">
      <c r="A35" s="92" t="s">
        <v>74</v>
      </c>
      <c r="B35" s="92"/>
      <c r="C35" s="92"/>
      <c r="D35" s="92"/>
      <c r="E35" s="92"/>
    </row>
    <row r="36" spans="1:5" ht="30" x14ac:dyDescent="0.25">
      <c r="A36" s="1" t="s">
        <v>2</v>
      </c>
      <c r="B36" s="3" t="s">
        <v>62</v>
      </c>
      <c r="C36" s="3" t="s">
        <v>67</v>
      </c>
      <c r="D36" s="3" t="s">
        <v>73</v>
      </c>
    </row>
    <row r="37" spans="1:5" x14ac:dyDescent="0.25">
      <c r="A37" s="4" t="s">
        <v>12</v>
      </c>
      <c r="B37" s="2">
        <f>C10</f>
        <v>2480</v>
      </c>
      <c r="C37" s="2">
        <f>H10</f>
        <v>3590.3199999999997</v>
      </c>
      <c r="D37" s="6">
        <f>1-(B37/C37)</f>
        <v>0.30925377125158759</v>
      </c>
    </row>
    <row r="38" spans="1:5" x14ac:dyDescent="0.25">
      <c r="A38" s="4" t="s">
        <v>16</v>
      </c>
      <c r="B38" s="2">
        <f t="shared" ref="B38:B42" si="11">C11</f>
        <v>2375</v>
      </c>
      <c r="C38" s="2">
        <f t="shared" ref="C38:C42" si="12">H11</f>
        <v>2981.44</v>
      </c>
      <c r="D38" s="6">
        <f t="shared" ref="D38:D42" si="13">1-(B38/C38)</f>
        <v>0.20340506600837183</v>
      </c>
    </row>
    <row r="39" spans="1:5" x14ac:dyDescent="0.25">
      <c r="A39" s="4" t="s">
        <v>19</v>
      </c>
      <c r="B39" s="2">
        <f t="shared" si="11"/>
        <v>3250</v>
      </c>
      <c r="C39" s="2">
        <f t="shared" si="12"/>
        <v>3780.8999999999996</v>
      </c>
      <c r="D39" s="6">
        <f t="shared" si="13"/>
        <v>0.14041630299664087</v>
      </c>
    </row>
    <row r="40" spans="1:5" x14ac:dyDescent="0.25">
      <c r="A40" s="4" t="s">
        <v>23</v>
      </c>
      <c r="B40" s="2">
        <f t="shared" si="11"/>
        <v>1235</v>
      </c>
      <c r="C40" s="2">
        <f t="shared" si="12"/>
        <v>1607.6999999999998</v>
      </c>
      <c r="D40" s="6">
        <f t="shared" si="13"/>
        <v>0.23182185731168736</v>
      </c>
    </row>
    <row r="41" spans="1:5" x14ac:dyDescent="0.25">
      <c r="A41" s="4" t="s">
        <v>25</v>
      </c>
      <c r="B41" s="2">
        <f t="shared" si="11"/>
        <v>3400</v>
      </c>
      <c r="C41" s="2">
        <f t="shared" si="12"/>
        <v>6193.7999999999993</v>
      </c>
      <c r="D41" s="6">
        <f t="shared" si="13"/>
        <v>0.45106396719299935</v>
      </c>
    </row>
    <row r="42" spans="1:5" x14ac:dyDescent="0.25">
      <c r="A42" s="4" t="s">
        <v>27</v>
      </c>
      <c r="B42" s="2">
        <f t="shared" si="11"/>
        <v>860</v>
      </c>
      <c r="C42" s="2">
        <f t="shared" si="12"/>
        <v>1599</v>
      </c>
      <c r="D42" s="6">
        <f t="shared" si="13"/>
        <v>0.46216385240775482</v>
      </c>
    </row>
    <row r="44" spans="1:5" x14ac:dyDescent="0.25">
      <c r="A44" s="92" t="s">
        <v>86</v>
      </c>
      <c r="B44" s="92"/>
      <c r="C44" s="92"/>
      <c r="D44" s="92"/>
      <c r="E44" s="92"/>
    </row>
    <row r="45" spans="1:5" x14ac:dyDescent="0.25">
      <c r="A45" s="1" t="s">
        <v>4</v>
      </c>
      <c r="B45" s="3" t="s">
        <v>87</v>
      </c>
      <c r="C45" s="1" t="s">
        <v>88</v>
      </c>
    </row>
    <row r="46" spans="1:5" x14ac:dyDescent="0.25">
      <c r="A46" s="4" t="s">
        <v>14</v>
      </c>
      <c r="B46" s="7">
        <v>0.96</v>
      </c>
      <c r="C46" s="4" t="str">
        <f>IF(B46&gt;=95%,"Yes","No")</f>
        <v>Yes</v>
      </c>
    </row>
    <row r="47" spans="1:5" x14ac:dyDescent="0.25">
      <c r="A47" s="4" t="s">
        <v>17</v>
      </c>
      <c r="B47" s="7">
        <v>0.93</v>
      </c>
      <c r="C47" s="4" t="str">
        <f t="shared" ref="C47:C48" si="14">IF(B47&gt;=95%,"Yes","No")</f>
        <v>No</v>
      </c>
    </row>
    <row r="48" spans="1:5" x14ac:dyDescent="0.25">
      <c r="A48" s="4" t="s">
        <v>21</v>
      </c>
      <c r="B48" s="7">
        <v>0.98</v>
      </c>
      <c r="C48" s="4" t="str">
        <f t="shared" si="14"/>
        <v>Yes</v>
      </c>
    </row>
    <row r="49" spans="1:6" x14ac:dyDescent="0.25">
      <c r="B49" t="s">
        <v>89</v>
      </c>
    </row>
    <row r="51" spans="1:6" x14ac:dyDescent="0.25">
      <c r="A51" s="92" t="s">
        <v>90</v>
      </c>
      <c r="B51" s="92"/>
      <c r="C51" s="92"/>
      <c r="D51" s="92"/>
      <c r="E51" s="92"/>
      <c r="F51" s="92"/>
    </row>
    <row r="52" spans="1:6" x14ac:dyDescent="0.25">
      <c r="A52" s="16" t="s">
        <v>91</v>
      </c>
      <c r="B52" s="16"/>
      <c r="C52" s="16"/>
      <c r="D52" s="16"/>
      <c r="E52" s="16"/>
      <c r="F52" s="16"/>
    </row>
    <row r="53" spans="1:6" x14ac:dyDescent="0.25">
      <c r="A53" s="16"/>
      <c r="B53" s="16"/>
      <c r="C53" s="16"/>
      <c r="D53" s="16"/>
      <c r="E53" s="16"/>
      <c r="F53" s="16"/>
    </row>
    <row r="54" spans="1:6" x14ac:dyDescent="0.25">
      <c r="A54" s="16"/>
      <c r="B54" s="16"/>
      <c r="C54" s="16"/>
      <c r="D54" s="16"/>
      <c r="E54" s="16"/>
      <c r="F54" s="16"/>
    </row>
    <row r="55" spans="1:6" x14ac:dyDescent="0.25">
      <c r="A55" s="16"/>
      <c r="B55" s="16"/>
      <c r="C55" s="16"/>
      <c r="D55" s="16"/>
      <c r="E55" s="16"/>
      <c r="F55" s="16"/>
    </row>
    <row r="56" spans="1:6" x14ac:dyDescent="0.25">
      <c r="A56" s="16"/>
      <c r="B56" s="16"/>
      <c r="C56" s="16"/>
      <c r="D56" s="16"/>
      <c r="E56" s="16"/>
      <c r="F56" s="16"/>
    </row>
    <row r="57" spans="1:6" x14ac:dyDescent="0.25">
      <c r="A57" s="16"/>
      <c r="B57" s="16"/>
      <c r="C57" s="16"/>
      <c r="D57" s="16"/>
      <c r="E57" s="16"/>
      <c r="F57" s="16"/>
    </row>
    <row r="58" spans="1:6" x14ac:dyDescent="0.25">
      <c r="A58" s="16"/>
      <c r="B58" s="16"/>
      <c r="C58" s="16"/>
      <c r="D58" s="16"/>
      <c r="E58" s="16"/>
      <c r="F58" s="16"/>
    </row>
  </sheetData>
  <mergeCells count="8">
    <mergeCell ref="A52:F58"/>
    <mergeCell ref="A51:F51"/>
    <mergeCell ref="A1:I1"/>
    <mergeCell ref="A17:F17"/>
    <mergeCell ref="A26:F26"/>
    <mergeCell ref="A35:E35"/>
    <mergeCell ref="A8:J8"/>
    <mergeCell ref="A44:E4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BF063-37AB-41DD-A3BC-9F8C50CC29F4}">
  <dimension ref="A1:L61"/>
  <sheetViews>
    <sheetView showGridLines="0" topLeftCell="A6" zoomScale="115" zoomScaleNormal="115" workbookViewId="0">
      <selection activeCell="O16" sqref="O16"/>
    </sheetView>
  </sheetViews>
  <sheetFormatPr defaultRowHeight="15" x14ac:dyDescent="0.25"/>
  <cols>
    <col min="1" max="1" width="3.7109375" customWidth="1"/>
    <col min="2" max="4" width="15.7109375" customWidth="1"/>
    <col min="5" max="5" width="3.7109375" customWidth="1"/>
    <col min="6" max="8" width="15.7109375" customWidth="1"/>
    <col min="9" max="9" width="3.7109375" customWidth="1"/>
    <col min="10" max="12" width="15.7109375" customWidth="1"/>
  </cols>
  <sheetData>
    <row r="1" spans="1:12" ht="28.5" x14ac:dyDescent="0.45">
      <c r="A1" s="17"/>
      <c r="B1" s="18"/>
      <c r="C1" s="18"/>
      <c r="D1" s="18"/>
      <c r="E1" s="18"/>
      <c r="F1" s="18"/>
      <c r="G1" s="18"/>
      <c r="H1" s="18"/>
      <c r="I1" s="18"/>
      <c r="J1" s="18"/>
      <c r="K1" s="18"/>
      <c r="L1" s="18"/>
    </row>
    <row r="2" spans="1:12" ht="35.1" customHeight="1" x14ac:dyDescent="0.45">
      <c r="A2" s="17"/>
      <c r="B2" s="50" t="s">
        <v>92</v>
      </c>
      <c r="C2" s="50"/>
      <c r="D2" s="50"/>
      <c r="E2" s="50"/>
      <c r="F2" s="50"/>
      <c r="G2" s="50"/>
      <c r="H2" s="50"/>
      <c r="I2" s="50"/>
      <c r="J2" s="50"/>
      <c r="K2" s="50"/>
      <c r="L2" s="50"/>
    </row>
    <row r="3" spans="1:12" ht="21.95" customHeight="1" x14ac:dyDescent="0.25">
      <c r="A3" s="17"/>
      <c r="B3" s="19" t="s">
        <v>93</v>
      </c>
      <c r="C3" s="19"/>
      <c r="D3" s="19"/>
      <c r="E3" s="19"/>
      <c r="F3" s="19"/>
      <c r="G3" s="19"/>
      <c r="H3" s="19"/>
      <c r="I3" s="19"/>
      <c r="J3" s="19"/>
      <c r="K3" s="19"/>
      <c r="L3" s="19"/>
    </row>
    <row r="4" spans="1:12" x14ac:dyDescent="0.25">
      <c r="A4" s="17"/>
      <c r="B4" s="17"/>
      <c r="C4" s="17"/>
      <c r="D4" s="17"/>
      <c r="E4" s="17"/>
      <c r="F4" s="17"/>
      <c r="G4" s="17"/>
      <c r="H4" s="17"/>
      <c r="I4" s="17"/>
      <c r="J4" s="17"/>
      <c r="K4" s="17"/>
      <c r="L4" s="17"/>
    </row>
    <row r="5" spans="1:12" ht="21.95" customHeight="1" x14ac:dyDescent="0.25">
      <c r="A5" s="17"/>
      <c r="B5" s="20" t="s">
        <v>94</v>
      </c>
      <c r="C5" s="21"/>
      <c r="D5" s="22"/>
      <c r="E5" s="17"/>
      <c r="F5" s="20" t="s">
        <v>95</v>
      </c>
      <c r="G5" s="21"/>
      <c r="H5" s="22"/>
      <c r="I5" s="17"/>
      <c r="J5" s="20" t="s">
        <v>96</v>
      </c>
      <c r="K5" s="21"/>
      <c r="L5" s="22"/>
    </row>
    <row r="6" spans="1:12" ht="21.95" customHeight="1" x14ac:dyDescent="0.25">
      <c r="A6" s="17"/>
      <c r="B6" s="25"/>
      <c r="C6" s="23"/>
      <c r="D6" s="26"/>
      <c r="E6" s="17"/>
      <c r="F6" s="25"/>
      <c r="G6" s="23"/>
      <c r="H6" s="26"/>
      <c r="I6" s="17"/>
      <c r="J6" s="25"/>
      <c r="K6" s="23"/>
      <c r="L6" s="26"/>
    </row>
    <row r="7" spans="1:12" ht="21.95" customHeight="1" x14ac:dyDescent="0.25">
      <c r="A7" s="17"/>
      <c r="B7" s="27">
        <f>Analysis!B2</f>
        <v>13600</v>
      </c>
      <c r="C7" s="24"/>
      <c r="D7" s="28"/>
      <c r="E7" s="17"/>
      <c r="F7" s="27">
        <f>Analysis!B3</f>
        <v>19753.16</v>
      </c>
      <c r="G7" s="24"/>
      <c r="H7" s="28"/>
      <c r="I7" s="17"/>
      <c r="J7" s="32">
        <f>Analysis!B4</f>
        <v>-6153.16</v>
      </c>
      <c r="K7" s="33"/>
      <c r="L7" s="34"/>
    </row>
    <row r="8" spans="1:12" ht="21.95" customHeight="1" x14ac:dyDescent="0.25">
      <c r="A8" s="17"/>
      <c r="B8" s="29"/>
      <c r="C8" s="30"/>
      <c r="D8" s="31"/>
      <c r="E8" s="17"/>
      <c r="F8" s="29"/>
      <c r="G8" s="30"/>
      <c r="H8" s="31"/>
      <c r="I8" s="17"/>
      <c r="J8" s="35"/>
      <c r="K8" s="36"/>
      <c r="L8" s="37"/>
    </row>
    <row r="9" spans="1:12" x14ac:dyDescent="0.25">
      <c r="A9" s="17"/>
      <c r="B9" s="17"/>
      <c r="C9" s="17"/>
      <c r="D9" s="17"/>
      <c r="E9" s="17"/>
      <c r="F9" s="17"/>
      <c r="G9" s="17"/>
      <c r="H9" s="17"/>
      <c r="I9" s="17"/>
      <c r="J9" s="17"/>
      <c r="K9" s="17"/>
      <c r="L9" s="17"/>
    </row>
    <row r="10" spans="1:12" ht="21.95" customHeight="1" x14ac:dyDescent="0.25">
      <c r="A10" s="17"/>
      <c r="B10" s="20" t="s">
        <v>97</v>
      </c>
      <c r="C10" s="21"/>
      <c r="D10" s="22"/>
      <c r="E10" s="17"/>
      <c r="F10" s="20" t="s">
        <v>98</v>
      </c>
      <c r="G10" s="21"/>
      <c r="H10" s="22"/>
      <c r="I10" s="17"/>
      <c r="J10" s="17"/>
      <c r="K10" s="17"/>
      <c r="L10" s="17"/>
    </row>
    <row r="11" spans="1:12" ht="21.95" customHeight="1" x14ac:dyDescent="0.25">
      <c r="A11" s="17"/>
      <c r="B11" s="25"/>
      <c r="C11" s="23"/>
      <c r="D11" s="26"/>
      <c r="E11" s="17"/>
      <c r="F11" s="25"/>
      <c r="G11" s="23"/>
      <c r="H11" s="26"/>
      <c r="I11" s="17"/>
      <c r="J11" s="17"/>
      <c r="K11" s="17"/>
      <c r="L11" s="17"/>
    </row>
    <row r="12" spans="1:12" ht="21.95" customHeight="1" x14ac:dyDescent="0.25">
      <c r="A12" s="17"/>
      <c r="B12" s="38">
        <f>Analysis!B5</f>
        <v>0.95950000000000002</v>
      </c>
      <c r="C12" s="39"/>
      <c r="D12" s="40"/>
      <c r="E12" s="17"/>
      <c r="F12" s="44">
        <f>COUNTIF(Analysis!C46:C48,"Yes")</f>
        <v>2</v>
      </c>
      <c r="G12" s="39"/>
      <c r="H12" s="40"/>
      <c r="I12" s="17"/>
      <c r="J12" s="17"/>
      <c r="K12" s="17"/>
      <c r="L12" s="17"/>
    </row>
    <row r="13" spans="1:12" ht="21.95" customHeight="1" x14ac:dyDescent="0.25">
      <c r="A13" s="17"/>
      <c r="B13" s="41"/>
      <c r="C13" s="42"/>
      <c r="D13" s="43"/>
      <c r="E13" s="17"/>
      <c r="F13" s="41"/>
      <c r="G13" s="42"/>
      <c r="H13" s="43"/>
      <c r="I13" s="17"/>
      <c r="J13" s="17"/>
      <c r="K13" s="17"/>
      <c r="L13" s="17"/>
    </row>
    <row r="14" spans="1:12" x14ac:dyDescent="0.25">
      <c r="A14" s="17"/>
      <c r="B14" s="17"/>
      <c r="C14" s="17"/>
      <c r="D14" s="17"/>
      <c r="E14" s="17"/>
      <c r="F14" s="17"/>
      <c r="G14" s="17"/>
      <c r="H14" s="17"/>
      <c r="I14" s="17"/>
      <c r="J14" s="17"/>
      <c r="K14" s="17"/>
      <c r="L14" s="17"/>
    </row>
    <row r="15" spans="1:12" x14ac:dyDescent="0.25">
      <c r="A15" s="17"/>
      <c r="B15" s="17"/>
      <c r="C15" s="17"/>
      <c r="D15" s="17"/>
      <c r="E15" s="17"/>
      <c r="F15" s="17"/>
      <c r="G15" s="17"/>
      <c r="H15" s="17"/>
      <c r="I15" s="17"/>
      <c r="J15" s="17"/>
      <c r="K15" s="17"/>
      <c r="L15" s="17"/>
    </row>
    <row r="16" spans="1:12" x14ac:dyDescent="0.25">
      <c r="A16" s="17"/>
      <c r="B16" s="46" t="s">
        <v>2</v>
      </c>
      <c r="C16" s="47" t="s">
        <v>62</v>
      </c>
      <c r="D16" s="47" t="s">
        <v>99</v>
      </c>
      <c r="E16" s="17"/>
      <c r="F16" s="51" t="s">
        <v>2</v>
      </c>
      <c r="G16" s="51" t="s">
        <v>73</v>
      </c>
      <c r="H16" s="17"/>
      <c r="I16" s="17"/>
      <c r="J16" s="17"/>
      <c r="K16" s="17"/>
      <c r="L16" s="17"/>
    </row>
    <row r="17" spans="1:12" x14ac:dyDescent="0.25">
      <c r="A17" s="17"/>
      <c r="B17" s="48" t="str">
        <f>Analysis!A10</f>
        <v>Montreal</v>
      </c>
      <c r="C17" s="49">
        <f>Analysis!C10</f>
        <v>2480</v>
      </c>
      <c r="D17" s="49">
        <f>Analysis!H10</f>
        <v>3590.3199999999997</v>
      </c>
      <c r="E17" s="17"/>
      <c r="F17" s="52" t="str">
        <f>Analysis!A10</f>
        <v>Montreal</v>
      </c>
      <c r="G17" s="52">
        <f>Analysis!D37</f>
        <v>0.30925377125158759</v>
      </c>
      <c r="H17" s="17"/>
      <c r="I17" s="17"/>
      <c r="J17" s="17"/>
      <c r="K17" s="17"/>
      <c r="L17" s="17"/>
    </row>
    <row r="18" spans="1:12" x14ac:dyDescent="0.25">
      <c r="A18" s="17"/>
      <c r="B18" s="48" t="str">
        <f>Analysis!A11</f>
        <v>Ottawa</v>
      </c>
      <c r="C18" s="49">
        <f>Analysis!C11</f>
        <v>2375</v>
      </c>
      <c r="D18" s="49">
        <f>Analysis!H11</f>
        <v>2981.44</v>
      </c>
      <c r="E18" s="17"/>
      <c r="F18" s="52" t="str">
        <f>Analysis!A11</f>
        <v>Ottawa</v>
      </c>
      <c r="G18" s="52">
        <f>Analysis!D38</f>
        <v>0.20340506600837183</v>
      </c>
      <c r="H18" s="17"/>
      <c r="I18" s="17"/>
      <c r="J18" s="17"/>
      <c r="K18" s="17"/>
      <c r="L18" s="17"/>
    </row>
    <row r="19" spans="1:12" x14ac:dyDescent="0.25">
      <c r="A19" s="17"/>
      <c r="B19" s="48" t="str">
        <f>Analysis!A12</f>
        <v>Windsor</v>
      </c>
      <c r="C19" s="49">
        <f>Analysis!C12</f>
        <v>3250</v>
      </c>
      <c r="D19" s="49">
        <f>Analysis!H12</f>
        <v>3780.8999999999996</v>
      </c>
      <c r="E19" s="17"/>
      <c r="F19" s="52" t="str">
        <f>Analysis!A12</f>
        <v>Windsor</v>
      </c>
      <c r="G19" s="52">
        <f>Analysis!D39</f>
        <v>0.14041630299664087</v>
      </c>
      <c r="H19" s="17"/>
      <c r="I19" s="17"/>
      <c r="J19" s="17"/>
      <c r="K19" s="17"/>
      <c r="L19" s="17"/>
    </row>
    <row r="20" spans="1:12" x14ac:dyDescent="0.25">
      <c r="A20" s="17"/>
      <c r="B20" s="48" t="str">
        <f>Analysis!A13</f>
        <v>London</v>
      </c>
      <c r="C20" s="49">
        <f>Analysis!C13</f>
        <v>1235</v>
      </c>
      <c r="D20" s="49">
        <f>Analysis!H13</f>
        <v>1607.6999999999998</v>
      </c>
      <c r="E20" s="17"/>
      <c r="F20" s="52" t="str">
        <f>Analysis!A13</f>
        <v>London</v>
      </c>
      <c r="G20" s="52">
        <f>Analysis!D40</f>
        <v>0.23182185731168736</v>
      </c>
      <c r="H20" s="17"/>
      <c r="I20" s="17"/>
      <c r="J20" s="17"/>
      <c r="K20" s="17"/>
      <c r="L20" s="17"/>
    </row>
    <row r="21" spans="1:12" x14ac:dyDescent="0.25">
      <c r="A21" s="17"/>
      <c r="B21" s="48" t="str">
        <f>Analysis!A14</f>
        <v>Quebec City</v>
      </c>
      <c r="C21" s="49">
        <f>Analysis!C14</f>
        <v>3400</v>
      </c>
      <c r="D21" s="49">
        <f>Analysis!H14</f>
        <v>6193.7999999999993</v>
      </c>
      <c r="E21" s="17"/>
      <c r="F21" s="52" t="str">
        <f>Analysis!A14</f>
        <v>Quebec City</v>
      </c>
      <c r="G21" s="52">
        <f>Analysis!D41</f>
        <v>0.45106396719299935</v>
      </c>
      <c r="H21" s="17"/>
      <c r="I21" s="17"/>
      <c r="J21" s="17"/>
      <c r="K21" s="17"/>
      <c r="L21" s="17"/>
    </row>
    <row r="22" spans="1:12" x14ac:dyDescent="0.25">
      <c r="A22" s="17"/>
      <c r="B22" s="48" t="str">
        <f>Analysis!A15</f>
        <v>Mississauga</v>
      </c>
      <c r="C22" s="49">
        <f>Analysis!C15</f>
        <v>860</v>
      </c>
      <c r="D22" s="49">
        <f>Analysis!H15</f>
        <v>1599</v>
      </c>
      <c r="E22" s="17"/>
      <c r="F22" s="52" t="str">
        <f>Analysis!A15</f>
        <v>Mississauga</v>
      </c>
      <c r="G22" s="52">
        <f>Analysis!D42</f>
        <v>0.46216385240775482</v>
      </c>
      <c r="H22" s="17"/>
      <c r="I22" s="17"/>
      <c r="J22" s="17"/>
      <c r="K22" s="17"/>
      <c r="L22" s="17"/>
    </row>
    <row r="23" spans="1:12" x14ac:dyDescent="0.25">
      <c r="A23" s="17"/>
      <c r="B23" s="17"/>
      <c r="C23" s="17"/>
      <c r="D23" s="17"/>
      <c r="E23" s="17"/>
      <c r="F23" s="17"/>
      <c r="G23" s="17"/>
      <c r="H23" s="17"/>
      <c r="I23" s="17"/>
      <c r="J23" s="17"/>
      <c r="K23" s="17"/>
      <c r="L23" s="17"/>
    </row>
    <row r="24" spans="1:12" x14ac:dyDescent="0.25">
      <c r="A24" s="17"/>
      <c r="B24" s="17"/>
      <c r="C24" s="17"/>
      <c r="D24" s="17"/>
      <c r="E24" s="17"/>
      <c r="F24" s="17"/>
      <c r="G24" s="17"/>
      <c r="H24" s="17"/>
      <c r="I24" s="17"/>
      <c r="J24" s="17"/>
      <c r="K24" s="17"/>
      <c r="L24" s="17"/>
    </row>
    <row r="25" spans="1:12" x14ac:dyDescent="0.25">
      <c r="A25" s="17"/>
      <c r="B25" s="17"/>
      <c r="C25" s="17"/>
      <c r="D25" s="17"/>
      <c r="E25" s="17"/>
      <c r="F25" s="17"/>
      <c r="G25" s="17"/>
      <c r="H25" s="17"/>
      <c r="I25" s="17"/>
      <c r="J25" s="17"/>
      <c r="K25" s="45"/>
      <c r="L25" s="17"/>
    </row>
    <row r="26" spans="1:12" x14ac:dyDescent="0.25">
      <c r="A26" s="17"/>
      <c r="B26" s="17"/>
      <c r="C26" s="17"/>
      <c r="D26" s="17"/>
      <c r="E26" s="17"/>
      <c r="F26" s="17"/>
      <c r="G26" s="17"/>
      <c r="H26" s="17"/>
      <c r="I26" s="17"/>
      <c r="J26" s="17"/>
      <c r="K26" s="17"/>
      <c r="L26" s="17"/>
    </row>
    <row r="27" spans="1:12" x14ac:dyDescent="0.25">
      <c r="A27" s="17"/>
      <c r="B27" s="17"/>
      <c r="C27" s="17"/>
      <c r="D27" s="17"/>
      <c r="E27" s="17"/>
      <c r="F27" s="17"/>
      <c r="G27" s="17"/>
      <c r="H27" s="17"/>
      <c r="I27" s="17"/>
      <c r="J27" s="17"/>
      <c r="K27" s="17"/>
      <c r="L27" s="17"/>
    </row>
    <row r="28" spans="1:12" x14ac:dyDescent="0.25">
      <c r="A28" s="17"/>
      <c r="B28" s="17"/>
      <c r="C28" s="17"/>
      <c r="D28" s="17"/>
      <c r="E28" s="17"/>
      <c r="F28" s="17"/>
      <c r="G28" s="17"/>
      <c r="H28" s="17"/>
      <c r="I28" s="17"/>
      <c r="J28" s="17"/>
      <c r="K28" s="17"/>
      <c r="L28" s="17"/>
    </row>
    <row r="29" spans="1:12" x14ac:dyDescent="0.25">
      <c r="A29" s="17"/>
      <c r="B29" s="17"/>
      <c r="C29" s="17"/>
      <c r="D29" s="17"/>
      <c r="E29" s="17"/>
      <c r="F29" s="17"/>
      <c r="G29" s="17"/>
      <c r="H29" s="17"/>
      <c r="I29" s="17"/>
      <c r="J29" s="17"/>
      <c r="K29" s="17"/>
      <c r="L29" s="17"/>
    </row>
    <row r="30" spans="1:12" x14ac:dyDescent="0.25">
      <c r="A30" s="17"/>
      <c r="B30" s="17"/>
      <c r="C30" s="17"/>
      <c r="D30" s="17"/>
      <c r="E30" s="17"/>
      <c r="F30" s="17"/>
      <c r="G30" s="17"/>
      <c r="H30" s="17"/>
      <c r="I30" s="17"/>
      <c r="J30" s="17"/>
      <c r="K30" s="17"/>
      <c r="L30" s="17"/>
    </row>
    <row r="31" spans="1:12" x14ac:dyDescent="0.25">
      <c r="A31" s="17"/>
      <c r="B31" s="17"/>
      <c r="C31" s="17"/>
      <c r="D31" s="17"/>
      <c r="E31" s="17"/>
      <c r="F31" s="17"/>
      <c r="G31" s="17"/>
      <c r="H31" s="17"/>
      <c r="I31" s="17"/>
      <c r="J31" s="17"/>
      <c r="K31" s="17"/>
      <c r="L31" s="17"/>
    </row>
    <row r="32" spans="1:12" x14ac:dyDescent="0.25">
      <c r="A32" s="17"/>
      <c r="B32" s="17"/>
      <c r="C32" s="17"/>
      <c r="D32" s="17"/>
      <c r="E32" s="17"/>
      <c r="F32" s="17"/>
      <c r="G32" s="17"/>
      <c r="H32" s="17"/>
      <c r="I32" s="17"/>
      <c r="J32" s="53" t="s">
        <v>100</v>
      </c>
      <c r="K32" s="53" t="s">
        <v>87</v>
      </c>
      <c r="L32" s="53" t="s">
        <v>101</v>
      </c>
    </row>
    <row r="33" spans="1:12" x14ac:dyDescent="0.25">
      <c r="A33" s="17"/>
      <c r="B33" s="17"/>
      <c r="C33" s="17"/>
      <c r="D33" s="17"/>
      <c r="E33" s="17"/>
      <c r="F33" s="17"/>
      <c r="G33" s="17"/>
      <c r="H33" s="17"/>
      <c r="I33" s="17"/>
      <c r="J33" s="48" t="s">
        <v>14</v>
      </c>
      <c r="K33" s="54">
        <f>Analysis!B46</f>
        <v>0.96</v>
      </c>
      <c r="L33" s="54">
        <f>95%</f>
        <v>0.95</v>
      </c>
    </row>
    <row r="34" spans="1:12" x14ac:dyDescent="0.25">
      <c r="A34" s="17"/>
      <c r="B34" s="17"/>
      <c r="C34" s="17"/>
      <c r="D34" s="17"/>
      <c r="E34" s="17"/>
      <c r="F34" s="17"/>
      <c r="G34" s="17"/>
      <c r="H34" s="17"/>
      <c r="I34" s="17"/>
      <c r="J34" s="48" t="s">
        <v>17</v>
      </c>
      <c r="K34" s="54">
        <f>Analysis!B47</f>
        <v>0.93</v>
      </c>
      <c r="L34" s="54">
        <f>95%</f>
        <v>0.95</v>
      </c>
    </row>
    <row r="35" spans="1:12" x14ac:dyDescent="0.25">
      <c r="A35" s="17"/>
      <c r="B35" s="17"/>
      <c r="C35" s="17"/>
      <c r="D35" s="17"/>
      <c r="E35" s="17"/>
      <c r="F35" s="17"/>
      <c r="G35" s="17"/>
      <c r="H35" s="17"/>
      <c r="I35" s="17"/>
      <c r="J35" s="48" t="s">
        <v>21</v>
      </c>
      <c r="K35" s="54">
        <f>Analysis!B48</f>
        <v>0.98</v>
      </c>
      <c r="L35" s="54">
        <f>95%</f>
        <v>0.95</v>
      </c>
    </row>
    <row r="36" spans="1:12" x14ac:dyDescent="0.25">
      <c r="A36" s="17"/>
      <c r="B36" s="17"/>
      <c r="C36" s="17"/>
      <c r="D36" s="17"/>
      <c r="E36" s="17"/>
      <c r="F36" s="17"/>
      <c r="G36" s="17"/>
      <c r="H36" s="17"/>
      <c r="I36" s="17"/>
      <c r="J36" s="17"/>
      <c r="K36" s="17"/>
      <c r="L36" s="17"/>
    </row>
    <row r="37" spans="1:12" x14ac:dyDescent="0.25">
      <c r="A37" s="17"/>
      <c r="B37" s="17"/>
      <c r="C37" s="17"/>
      <c r="D37" s="17"/>
      <c r="E37" s="17"/>
      <c r="F37" s="17"/>
      <c r="G37" s="17"/>
      <c r="H37" s="17"/>
      <c r="I37" s="17"/>
      <c r="J37" s="17"/>
      <c r="K37" s="17"/>
      <c r="L37" s="17"/>
    </row>
    <row r="38" spans="1:12" x14ac:dyDescent="0.25">
      <c r="A38" s="17"/>
      <c r="B38" s="17"/>
      <c r="C38" s="17"/>
      <c r="D38" s="17"/>
      <c r="E38" s="17"/>
      <c r="F38" s="17"/>
      <c r="G38" s="17"/>
      <c r="H38" s="17"/>
      <c r="I38" s="17"/>
      <c r="J38" s="17"/>
      <c r="K38" s="17"/>
      <c r="L38" s="17"/>
    </row>
    <row r="39" spans="1:12" x14ac:dyDescent="0.25">
      <c r="A39" s="17"/>
      <c r="B39" s="17"/>
      <c r="C39" s="17"/>
      <c r="D39" s="17"/>
      <c r="E39" s="17"/>
      <c r="F39" s="17"/>
      <c r="G39" s="17"/>
      <c r="H39" s="17"/>
      <c r="I39" s="17"/>
      <c r="J39" s="17"/>
      <c r="K39" s="17"/>
      <c r="L39" s="17"/>
    </row>
    <row r="40" spans="1:12" x14ac:dyDescent="0.25">
      <c r="A40" s="17"/>
      <c r="B40" s="17"/>
      <c r="C40" s="17"/>
      <c r="D40" s="17"/>
      <c r="E40" s="17"/>
      <c r="F40" s="17"/>
      <c r="G40" s="17"/>
      <c r="H40" s="17"/>
      <c r="I40" s="17"/>
      <c r="J40" s="17"/>
      <c r="K40" s="17"/>
      <c r="L40" s="17"/>
    </row>
    <row r="42" spans="1:12" x14ac:dyDescent="0.25">
      <c r="B42" s="57" t="s">
        <v>102</v>
      </c>
      <c r="C42" s="58"/>
      <c r="D42" s="58"/>
      <c r="E42" s="58"/>
      <c r="F42" s="58"/>
      <c r="G42" s="58"/>
      <c r="H42" s="59"/>
    </row>
    <row r="43" spans="1:12" x14ac:dyDescent="0.25">
      <c r="B43" s="60"/>
      <c r="C43" s="55"/>
      <c r="D43" s="55"/>
      <c r="E43" s="55"/>
      <c r="F43" s="55"/>
      <c r="G43" s="55"/>
      <c r="H43" s="61"/>
    </row>
    <row r="44" spans="1:12" x14ac:dyDescent="0.25">
      <c r="B44" s="60"/>
      <c r="C44" s="55"/>
      <c r="D44" s="55"/>
      <c r="E44" s="55"/>
      <c r="F44" s="55"/>
      <c r="G44" s="55"/>
      <c r="H44" s="61"/>
    </row>
    <row r="45" spans="1:12" x14ac:dyDescent="0.25">
      <c r="B45" s="60"/>
      <c r="C45" s="55"/>
      <c r="D45" s="55"/>
      <c r="E45" s="55"/>
      <c r="F45" s="55"/>
      <c r="G45" s="55"/>
      <c r="H45" s="61"/>
    </row>
    <row r="46" spans="1:12" x14ac:dyDescent="0.25">
      <c r="B46" s="60"/>
      <c r="C46" s="55"/>
      <c r="D46" s="55"/>
      <c r="E46" s="55"/>
      <c r="F46" s="55"/>
      <c r="G46" s="55"/>
      <c r="H46" s="61"/>
    </row>
    <row r="47" spans="1:12" x14ac:dyDescent="0.25">
      <c r="B47" s="62"/>
      <c r="C47" s="63"/>
      <c r="D47" s="63"/>
      <c r="E47" s="63"/>
      <c r="F47" s="63"/>
      <c r="G47" s="63"/>
      <c r="H47" s="64"/>
    </row>
    <row r="48" spans="1:12" x14ac:dyDescent="0.25">
      <c r="B48" s="56"/>
      <c r="C48" s="56"/>
      <c r="D48" s="56"/>
    </row>
    <row r="49" spans="2:12" x14ac:dyDescent="0.25">
      <c r="B49" s="65" t="s">
        <v>103</v>
      </c>
      <c r="C49" s="66"/>
      <c r="D49" s="66"/>
      <c r="E49" s="66"/>
      <c r="F49" s="66"/>
      <c r="G49" s="66"/>
      <c r="H49" s="67"/>
      <c r="J49" s="65" t="s">
        <v>105</v>
      </c>
      <c r="K49" s="66"/>
      <c r="L49" s="67"/>
    </row>
    <row r="50" spans="2:12" x14ac:dyDescent="0.25">
      <c r="B50" s="68"/>
      <c r="C50" s="69"/>
      <c r="D50" s="69"/>
      <c r="E50" s="69"/>
      <c r="F50" s="69"/>
      <c r="G50" s="69"/>
      <c r="H50" s="70"/>
      <c r="J50" s="68"/>
      <c r="K50" s="69"/>
      <c r="L50" s="70"/>
    </row>
    <row r="51" spans="2:12" x14ac:dyDescent="0.25">
      <c r="B51" s="68"/>
      <c r="C51" s="69"/>
      <c r="D51" s="69"/>
      <c r="E51" s="69"/>
      <c r="F51" s="69"/>
      <c r="G51" s="69"/>
      <c r="H51" s="70"/>
      <c r="J51" s="68"/>
      <c r="K51" s="69"/>
      <c r="L51" s="70"/>
    </row>
    <row r="52" spans="2:12" x14ac:dyDescent="0.25">
      <c r="B52" s="68"/>
      <c r="C52" s="69"/>
      <c r="D52" s="69"/>
      <c r="E52" s="69"/>
      <c r="F52" s="69"/>
      <c r="G52" s="69"/>
      <c r="H52" s="70"/>
      <c r="J52" s="68"/>
      <c r="K52" s="69"/>
      <c r="L52" s="70"/>
    </row>
    <row r="53" spans="2:12" x14ac:dyDescent="0.25">
      <c r="B53" s="68"/>
      <c r="C53" s="69"/>
      <c r="D53" s="69"/>
      <c r="E53" s="69"/>
      <c r="F53" s="69"/>
      <c r="G53" s="69"/>
      <c r="H53" s="70"/>
      <c r="J53" s="68"/>
      <c r="K53" s="69"/>
      <c r="L53" s="70"/>
    </row>
    <row r="54" spans="2:12" x14ac:dyDescent="0.25">
      <c r="B54" s="71"/>
      <c r="C54" s="72"/>
      <c r="D54" s="72"/>
      <c r="E54" s="72"/>
      <c r="F54" s="72"/>
      <c r="G54" s="72"/>
      <c r="H54" s="73"/>
      <c r="J54" s="71"/>
      <c r="K54" s="72"/>
      <c r="L54" s="73"/>
    </row>
    <row r="56" spans="2:12" x14ac:dyDescent="0.25">
      <c r="B56" s="57" t="s">
        <v>104</v>
      </c>
      <c r="C56" s="58"/>
      <c r="D56" s="58"/>
      <c r="E56" s="58"/>
      <c r="F56" s="58"/>
      <c r="G56" s="58"/>
      <c r="H56" s="59"/>
    </row>
    <row r="57" spans="2:12" x14ac:dyDescent="0.25">
      <c r="B57" s="60"/>
      <c r="C57" s="55"/>
      <c r="D57" s="55"/>
      <c r="E57" s="55"/>
      <c r="F57" s="55"/>
      <c r="G57" s="55"/>
      <c r="H57" s="61"/>
    </row>
    <row r="58" spans="2:12" x14ac:dyDescent="0.25">
      <c r="B58" s="60"/>
      <c r="C58" s="55"/>
      <c r="D58" s="55"/>
      <c r="E58" s="55"/>
      <c r="F58" s="55"/>
      <c r="G58" s="55"/>
      <c r="H58" s="61"/>
    </row>
    <row r="59" spans="2:12" x14ac:dyDescent="0.25">
      <c r="B59" s="60"/>
      <c r="C59" s="55"/>
      <c r="D59" s="55"/>
      <c r="E59" s="55"/>
      <c r="F59" s="55"/>
      <c r="G59" s="55"/>
      <c r="H59" s="61"/>
    </row>
    <row r="60" spans="2:12" x14ac:dyDescent="0.25">
      <c r="B60" s="60"/>
      <c r="C60" s="55"/>
      <c r="D60" s="55"/>
      <c r="E60" s="55"/>
      <c r="F60" s="55"/>
      <c r="G60" s="55"/>
      <c r="H60" s="61"/>
    </row>
    <row r="61" spans="2:12" x14ac:dyDescent="0.25">
      <c r="B61" s="62"/>
      <c r="C61" s="63"/>
      <c r="D61" s="63"/>
      <c r="E61" s="63"/>
      <c r="F61" s="63"/>
      <c r="G61" s="63"/>
      <c r="H61" s="64"/>
    </row>
  </sheetData>
  <mergeCells count="17">
    <mergeCell ref="B56:H61"/>
    <mergeCell ref="J49:L54"/>
    <mergeCell ref="B10:D11"/>
    <mergeCell ref="B12:D13"/>
    <mergeCell ref="F10:H11"/>
    <mergeCell ref="F12:H13"/>
    <mergeCell ref="B42:H47"/>
    <mergeCell ref="B49:H54"/>
    <mergeCell ref="B1:L1"/>
    <mergeCell ref="B3:L3"/>
    <mergeCell ref="B2:L2"/>
    <mergeCell ref="B5:D6"/>
    <mergeCell ref="B7:D8"/>
    <mergeCell ref="F5:H6"/>
    <mergeCell ref="F7:H8"/>
    <mergeCell ref="J5:L6"/>
    <mergeCell ref="J7:L8"/>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3985-32E3-4F3B-8659-8714D44DDDBF}">
  <dimension ref="A1:F40"/>
  <sheetViews>
    <sheetView workbookViewId="0">
      <selection activeCell="F16" sqref="F16"/>
    </sheetView>
  </sheetViews>
  <sheetFormatPr defaultRowHeight="15" x14ac:dyDescent="0.25"/>
  <cols>
    <col min="1" max="1" width="14" style="77" bestFit="1" customWidth="1"/>
    <col min="2" max="2" width="35.5703125" style="77" customWidth="1"/>
    <col min="3" max="3" width="38.7109375" style="77" customWidth="1"/>
    <col min="4" max="4" width="29.28515625" style="77" customWidth="1"/>
    <col min="5" max="5" width="22.42578125" style="77" customWidth="1"/>
    <col min="6" max="6" width="37.140625" style="77" customWidth="1"/>
    <col min="7" max="16384" width="9.140625" style="77"/>
  </cols>
  <sheetData>
    <row r="1" spans="1:6" x14ac:dyDescent="0.25">
      <c r="A1" s="75" t="s">
        <v>106</v>
      </c>
      <c r="B1" s="76"/>
      <c r="C1" s="76"/>
      <c r="D1" s="76"/>
      <c r="E1" s="76"/>
      <c r="F1" s="76"/>
    </row>
    <row r="2" spans="1:6" x14ac:dyDescent="0.25">
      <c r="A2" s="76"/>
      <c r="B2" s="76"/>
      <c r="C2" s="76"/>
      <c r="D2" s="76"/>
      <c r="E2" s="76"/>
      <c r="F2" s="76"/>
    </row>
    <row r="3" spans="1:6" x14ac:dyDescent="0.25">
      <c r="A3" s="78" t="s">
        <v>107</v>
      </c>
      <c r="B3" s="79"/>
      <c r="C3" s="79"/>
      <c r="D3" s="79"/>
      <c r="E3" s="79"/>
      <c r="F3" s="79"/>
    </row>
    <row r="5" spans="1:6" x14ac:dyDescent="0.25">
      <c r="A5" s="82" t="s">
        <v>108</v>
      </c>
      <c r="B5" s="81"/>
      <c r="C5" s="81"/>
      <c r="D5" s="81"/>
      <c r="E5" s="81"/>
      <c r="F5" s="81"/>
    </row>
    <row r="6" spans="1:6" x14ac:dyDescent="0.25">
      <c r="A6" s="80" t="s">
        <v>109</v>
      </c>
      <c r="B6" s="80" t="s">
        <v>110</v>
      </c>
      <c r="C6" s="80" t="s">
        <v>111</v>
      </c>
      <c r="D6" s="80" t="s">
        <v>112</v>
      </c>
      <c r="E6" s="80" t="s">
        <v>113</v>
      </c>
      <c r="F6" s="80" t="s">
        <v>114</v>
      </c>
    </row>
    <row r="7" spans="1:6" ht="27" x14ac:dyDescent="0.25">
      <c r="A7" s="74" t="s">
        <v>115</v>
      </c>
      <c r="B7" s="74" t="s">
        <v>116</v>
      </c>
      <c r="C7" s="74" t="s">
        <v>117</v>
      </c>
      <c r="D7" s="74" t="s">
        <v>118</v>
      </c>
      <c r="E7" s="74" t="s">
        <v>119</v>
      </c>
      <c r="F7" s="74" t="s">
        <v>120</v>
      </c>
    </row>
    <row r="8" spans="1:6" x14ac:dyDescent="0.25">
      <c r="A8" s="74" t="s">
        <v>121</v>
      </c>
      <c r="B8" s="74" t="s">
        <v>122</v>
      </c>
      <c r="C8" s="74" t="s">
        <v>123</v>
      </c>
      <c r="D8" s="74" t="s">
        <v>118</v>
      </c>
      <c r="E8" s="74" t="s">
        <v>124</v>
      </c>
      <c r="F8" s="74" t="s">
        <v>125</v>
      </c>
    </row>
    <row r="9" spans="1:6" ht="27" x14ac:dyDescent="0.25">
      <c r="A9" s="74" t="s">
        <v>126</v>
      </c>
      <c r="B9" s="74" t="s">
        <v>127</v>
      </c>
      <c r="C9" s="74" t="s">
        <v>128</v>
      </c>
      <c r="D9" s="74" t="s">
        <v>118</v>
      </c>
      <c r="E9" s="74" t="s">
        <v>129</v>
      </c>
      <c r="F9" s="74" t="s">
        <v>130</v>
      </c>
    </row>
    <row r="10" spans="1:6" ht="27" x14ac:dyDescent="0.25">
      <c r="A10" s="74" t="s">
        <v>131</v>
      </c>
      <c r="B10" s="74" t="s">
        <v>132</v>
      </c>
      <c r="C10" s="74" t="s">
        <v>133</v>
      </c>
      <c r="D10" s="74" t="s">
        <v>118</v>
      </c>
      <c r="E10" s="74" t="s">
        <v>134</v>
      </c>
      <c r="F10" s="74" t="s">
        <v>135</v>
      </c>
    </row>
    <row r="11" spans="1:6" x14ac:dyDescent="0.25">
      <c r="A11" s="74" t="s">
        <v>136</v>
      </c>
      <c r="B11" s="74" t="s">
        <v>137</v>
      </c>
      <c r="C11" s="74" t="s">
        <v>138</v>
      </c>
      <c r="D11" s="74" t="s">
        <v>139</v>
      </c>
      <c r="E11" s="74" t="s">
        <v>140</v>
      </c>
      <c r="F11" s="74" t="s">
        <v>141</v>
      </c>
    </row>
    <row r="12" spans="1:6" ht="27" x14ac:dyDescent="0.25">
      <c r="A12" s="74" t="s">
        <v>142</v>
      </c>
      <c r="B12" s="74" t="s">
        <v>143</v>
      </c>
      <c r="C12" s="74" t="s">
        <v>144</v>
      </c>
      <c r="D12" s="74" t="s">
        <v>139</v>
      </c>
      <c r="E12" s="74" t="s">
        <v>145</v>
      </c>
      <c r="F12" s="74" t="s">
        <v>146</v>
      </c>
    </row>
    <row r="15" spans="1:6" x14ac:dyDescent="0.25">
      <c r="A15" s="83" t="s">
        <v>147</v>
      </c>
      <c r="B15" s="84"/>
      <c r="C15" s="84"/>
      <c r="D15" s="84"/>
      <c r="E15" s="84"/>
      <c r="F15" s="84"/>
    </row>
    <row r="16" spans="1:6" x14ac:dyDescent="0.25">
      <c r="A16" s="80" t="s">
        <v>148</v>
      </c>
      <c r="B16" s="80" t="s">
        <v>149</v>
      </c>
      <c r="C16" s="80" t="s">
        <v>150</v>
      </c>
      <c r="D16" s="80" t="s">
        <v>151</v>
      </c>
      <c r="E16" s="80" t="s">
        <v>152</v>
      </c>
      <c r="F16" s="80" t="s">
        <v>153</v>
      </c>
    </row>
    <row r="17" spans="1:6" ht="27" x14ac:dyDescent="0.25">
      <c r="A17" s="74" t="s">
        <v>154</v>
      </c>
      <c r="B17" s="74" t="s">
        <v>155</v>
      </c>
      <c r="C17" s="74" t="s">
        <v>156</v>
      </c>
      <c r="D17" s="74" t="s">
        <v>157</v>
      </c>
      <c r="E17" s="74" t="s">
        <v>158</v>
      </c>
      <c r="F17" s="74" t="s">
        <v>159</v>
      </c>
    </row>
    <row r="18" spans="1:6" x14ac:dyDescent="0.25">
      <c r="A18" s="74" t="s">
        <v>154</v>
      </c>
      <c r="B18" s="74" t="s">
        <v>160</v>
      </c>
      <c r="C18" s="74" t="s">
        <v>161</v>
      </c>
      <c r="D18" s="74" t="s">
        <v>162</v>
      </c>
      <c r="E18" s="74" t="s">
        <v>163</v>
      </c>
      <c r="F18" s="74" t="s">
        <v>164</v>
      </c>
    </row>
    <row r="19" spans="1:6" ht="27" x14ac:dyDescent="0.25">
      <c r="A19" s="74" t="s">
        <v>154</v>
      </c>
      <c r="B19" s="74" t="s">
        <v>165</v>
      </c>
      <c r="C19" s="74" t="s">
        <v>166</v>
      </c>
      <c r="D19" s="74" t="s">
        <v>167</v>
      </c>
      <c r="E19" s="74" t="s">
        <v>168</v>
      </c>
      <c r="F19" s="74" t="s">
        <v>169</v>
      </c>
    </row>
    <row r="20" spans="1:6" ht="27" x14ac:dyDescent="0.25">
      <c r="A20" s="74" t="s">
        <v>170</v>
      </c>
      <c r="B20" s="74" t="s">
        <v>171</v>
      </c>
      <c r="C20" s="74" t="s">
        <v>172</v>
      </c>
      <c r="D20" s="74" t="s">
        <v>173</v>
      </c>
      <c r="E20" s="74" t="s">
        <v>174</v>
      </c>
      <c r="F20" s="74" t="s">
        <v>175</v>
      </c>
    </row>
    <row r="21" spans="1:6" x14ac:dyDescent="0.25">
      <c r="A21" s="74" t="s">
        <v>176</v>
      </c>
      <c r="B21" s="74" t="s">
        <v>177</v>
      </c>
      <c r="C21" s="74" t="s">
        <v>178</v>
      </c>
      <c r="D21" s="74" t="s">
        <v>179</v>
      </c>
      <c r="E21" s="74" t="s">
        <v>180</v>
      </c>
      <c r="F21" s="74" t="s">
        <v>181</v>
      </c>
    </row>
    <row r="22" spans="1:6" x14ac:dyDescent="0.25">
      <c r="A22" s="74" t="s">
        <v>182</v>
      </c>
      <c r="B22" s="74" t="s">
        <v>183</v>
      </c>
      <c r="C22" s="74" t="s">
        <v>184</v>
      </c>
      <c r="D22" s="74" t="s">
        <v>185</v>
      </c>
      <c r="E22" s="74" t="s">
        <v>186</v>
      </c>
      <c r="F22" s="74" t="s">
        <v>187</v>
      </c>
    </row>
    <row r="25" spans="1:6" x14ac:dyDescent="0.25">
      <c r="A25" s="83" t="s">
        <v>188</v>
      </c>
      <c r="B25" s="84"/>
      <c r="C25" s="84"/>
      <c r="D25" s="84"/>
      <c r="E25" s="84"/>
      <c r="F25" s="84"/>
    </row>
    <row r="26" spans="1:6" x14ac:dyDescent="0.25">
      <c r="A26" s="80" t="s">
        <v>189</v>
      </c>
      <c r="B26" s="80" t="s">
        <v>190</v>
      </c>
      <c r="C26" s="80" t="s">
        <v>153</v>
      </c>
      <c r="D26" s="80" t="s">
        <v>191</v>
      </c>
      <c r="E26" s="80" t="s">
        <v>192</v>
      </c>
      <c r="F26" s="80" t="s">
        <v>193</v>
      </c>
    </row>
    <row r="27" spans="1:6" ht="27" x14ac:dyDescent="0.25">
      <c r="A27" s="74" t="s">
        <v>194</v>
      </c>
      <c r="B27" s="74" t="s">
        <v>195</v>
      </c>
      <c r="C27" s="74" t="s">
        <v>169</v>
      </c>
      <c r="D27" s="74" t="s">
        <v>196</v>
      </c>
      <c r="E27" s="74" t="s">
        <v>197</v>
      </c>
      <c r="F27" s="74" t="s">
        <v>198</v>
      </c>
    </row>
    <row r="28" spans="1:6" ht="27" x14ac:dyDescent="0.25">
      <c r="A28" s="74" t="s">
        <v>199</v>
      </c>
      <c r="B28" s="74" t="s">
        <v>200</v>
      </c>
      <c r="C28" s="74" t="s">
        <v>201</v>
      </c>
      <c r="D28" s="74" t="s">
        <v>196</v>
      </c>
      <c r="E28" s="74" t="s">
        <v>202</v>
      </c>
      <c r="F28" s="74" t="s">
        <v>198</v>
      </c>
    </row>
    <row r="29" spans="1:6" ht="27" x14ac:dyDescent="0.25">
      <c r="A29" s="74" t="s">
        <v>203</v>
      </c>
      <c r="B29" s="74" t="s">
        <v>204</v>
      </c>
      <c r="C29" s="74" t="s">
        <v>169</v>
      </c>
      <c r="D29" s="74" t="s">
        <v>196</v>
      </c>
      <c r="E29" s="74" t="s">
        <v>205</v>
      </c>
      <c r="F29" s="74" t="s">
        <v>198</v>
      </c>
    </row>
    <row r="30" spans="1:6" ht="27" x14ac:dyDescent="0.25">
      <c r="A30" s="74" t="s">
        <v>206</v>
      </c>
      <c r="B30" s="74" t="s">
        <v>207</v>
      </c>
      <c r="C30" s="74" t="s">
        <v>208</v>
      </c>
      <c r="D30" s="74" t="s">
        <v>196</v>
      </c>
      <c r="E30" s="74" t="s">
        <v>209</v>
      </c>
      <c r="F30" s="74" t="s">
        <v>198</v>
      </c>
    </row>
    <row r="31" spans="1:6" ht="27" x14ac:dyDescent="0.25">
      <c r="A31" s="74" t="s">
        <v>210</v>
      </c>
      <c r="B31" s="74" t="s">
        <v>211</v>
      </c>
      <c r="C31" s="74" t="s">
        <v>212</v>
      </c>
      <c r="D31" s="74" t="s">
        <v>196</v>
      </c>
      <c r="E31" s="74" t="s">
        <v>213</v>
      </c>
      <c r="F31" s="74" t="s">
        <v>198</v>
      </c>
    </row>
    <row r="34" spans="1:6" x14ac:dyDescent="0.25">
      <c r="A34" s="83" t="s">
        <v>214</v>
      </c>
      <c r="B34" s="84"/>
      <c r="C34" s="84"/>
      <c r="D34" s="84"/>
      <c r="E34" s="84"/>
      <c r="F34" s="84"/>
    </row>
    <row r="35" spans="1:6" x14ac:dyDescent="0.25">
      <c r="A35" s="80" t="s">
        <v>215</v>
      </c>
      <c r="B35" s="80" t="s">
        <v>216</v>
      </c>
      <c r="C35" s="80" t="s">
        <v>217</v>
      </c>
      <c r="D35" s="80" t="s">
        <v>218</v>
      </c>
      <c r="E35" s="80" t="s">
        <v>153</v>
      </c>
      <c r="F35" s="80" t="s">
        <v>191</v>
      </c>
    </row>
    <row r="36" spans="1:6" x14ac:dyDescent="0.25">
      <c r="A36" s="74" t="s">
        <v>219</v>
      </c>
      <c r="B36" s="74" t="s">
        <v>220</v>
      </c>
      <c r="C36" s="74" t="s">
        <v>221</v>
      </c>
      <c r="D36" s="74" t="s">
        <v>222</v>
      </c>
      <c r="E36" s="74" t="s">
        <v>223</v>
      </c>
      <c r="F36" s="74" t="s">
        <v>224</v>
      </c>
    </row>
    <row r="37" spans="1:6" ht="27" x14ac:dyDescent="0.25">
      <c r="A37" s="74" t="s">
        <v>225</v>
      </c>
      <c r="B37" s="74" t="s">
        <v>226</v>
      </c>
      <c r="C37" s="74" t="s">
        <v>227</v>
      </c>
      <c r="D37" s="74" t="s">
        <v>228</v>
      </c>
      <c r="E37" s="74" t="s">
        <v>229</v>
      </c>
      <c r="F37" s="74" t="s">
        <v>224</v>
      </c>
    </row>
    <row r="38" spans="1:6" x14ac:dyDescent="0.25">
      <c r="A38" s="74" t="s">
        <v>230</v>
      </c>
      <c r="B38" s="74" t="s">
        <v>231</v>
      </c>
      <c r="C38" s="74" t="s">
        <v>232</v>
      </c>
      <c r="D38" s="74" t="s">
        <v>233</v>
      </c>
      <c r="E38" s="74" t="s">
        <v>169</v>
      </c>
      <c r="F38" s="74" t="s">
        <v>224</v>
      </c>
    </row>
    <row r="39" spans="1:6" x14ac:dyDescent="0.25">
      <c r="A39" s="74" t="s">
        <v>234</v>
      </c>
      <c r="B39" s="74" t="s">
        <v>87</v>
      </c>
      <c r="C39" s="74" t="s">
        <v>235</v>
      </c>
      <c r="D39" s="74" t="s">
        <v>236</v>
      </c>
      <c r="E39" s="74" t="s">
        <v>201</v>
      </c>
      <c r="F39" s="74" t="s">
        <v>224</v>
      </c>
    </row>
    <row r="40" spans="1:6" x14ac:dyDescent="0.25">
      <c r="A40" s="74" t="s">
        <v>237</v>
      </c>
      <c r="B40" s="74" t="s">
        <v>238</v>
      </c>
      <c r="C40" s="74" t="s">
        <v>239</v>
      </c>
      <c r="D40" s="74" t="s">
        <v>240</v>
      </c>
      <c r="E40" s="74" t="s">
        <v>175</v>
      </c>
      <c r="F40" s="74" t="s">
        <v>224</v>
      </c>
    </row>
  </sheetData>
  <mergeCells count="6">
    <mergeCell ref="A1:F2"/>
    <mergeCell ref="A3:F3"/>
    <mergeCell ref="A5:F5"/>
    <mergeCell ref="A15:F15"/>
    <mergeCell ref="A25:F25"/>
    <mergeCell ref="A34:F3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8B5F3-9D27-4914-9860-C2C965DD825E}">
  <dimension ref="A1:G15"/>
  <sheetViews>
    <sheetView zoomScale="115" zoomScaleNormal="115" workbookViewId="0">
      <selection activeCell="E25" sqref="E25"/>
    </sheetView>
  </sheetViews>
  <sheetFormatPr defaultRowHeight="15" x14ac:dyDescent="0.25"/>
  <cols>
    <col min="1" max="1" width="13.28515625" style="77" customWidth="1"/>
    <col min="2" max="2" width="22" style="77" customWidth="1"/>
    <col min="3" max="3" width="18.7109375" style="77" customWidth="1"/>
    <col min="4" max="4" width="15.85546875" style="77" customWidth="1"/>
    <col min="5" max="5" width="27.28515625" style="77" customWidth="1"/>
    <col min="6" max="6" width="18.7109375" style="77" customWidth="1"/>
    <col min="7" max="7" width="23.28515625" style="77" customWidth="1"/>
    <col min="8" max="16384" width="9.140625" style="77"/>
  </cols>
  <sheetData>
    <row r="1" spans="1:7" x14ac:dyDescent="0.25">
      <c r="A1" s="75" t="s">
        <v>241</v>
      </c>
      <c r="B1" s="76"/>
      <c r="C1" s="76"/>
      <c r="D1" s="76"/>
      <c r="E1" s="76"/>
      <c r="F1" s="76"/>
      <c r="G1" s="76"/>
    </row>
    <row r="2" spans="1:7" x14ac:dyDescent="0.25">
      <c r="A2" s="76"/>
      <c r="B2" s="76"/>
      <c r="C2" s="76"/>
      <c r="D2" s="76"/>
      <c r="E2" s="76"/>
      <c r="F2" s="76"/>
      <c r="G2" s="76"/>
    </row>
    <row r="3" spans="1:7" x14ac:dyDescent="0.25">
      <c r="A3" s="78" t="s">
        <v>242</v>
      </c>
      <c r="B3" s="79"/>
      <c r="C3" s="79"/>
      <c r="D3" s="79"/>
      <c r="E3" s="79"/>
      <c r="F3" s="79"/>
      <c r="G3" s="79"/>
    </row>
    <row r="5" spans="1:7" x14ac:dyDescent="0.25">
      <c r="A5" s="82" t="s">
        <v>243</v>
      </c>
      <c r="B5" s="81"/>
      <c r="C5" s="81"/>
      <c r="D5" s="81"/>
      <c r="E5" s="81"/>
      <c r="F5" s="81"/>
      <c r="G5" s="81"/>
    </row>
    <row r="6" spans="1:7" x14ac:dyDescent="0.25">
      <c r="A6" s="80" t="s">
        <v>244</v>
      </c>
      <c r="B6" s="80" t="s">
        <v>245</v>
      </c>
      <c r="C6" s="80" t="s">
        <v>246</v>
      </c>
      <c r="D6" s="80" t="s">
        <v>247</v>
      </c>
      <c r="E6" s="80" t="s">
        <v>217</v>
      </c>
      <c r="F6" s="80" t="s">
        <v>248</v>
      </c>
      <c r="G6" s="80" t="s">
        <v>153</v>
      </c>
    </row>
    <row r="7" spans="1:7" x14ac:dyDescent="0.25">
      <c r="A7" s="74" t="s">
        <v>220</v>
      </c>
      <c r="B7" s="74" t="s">
        <v>249</v>
      </c>
      <c r="C7" s="74" t="s">
        <v>155</v>
      </c>
      <c r="D7" s="74" t="s">
        <v>250</v>
      </c>
      <c r="E7" s="74" t="s">
        <v>221</v>
      </c>
      <c r="F7" s="74" t="s">
        <v>251</v>
      </c>
      <c r="G7" s="74" t="s">
        <v>229</v>
      </c>
    </row>
    <row r="8" spans="1:7" x14ac:dyDescent="0.25">
      <c r="A8" s="74" t="s">
        <v>2</v>
      </c>
      <c r="B8" s="74" t="s">
        <v>252</v>
      </c>
      <c r="C8" s="74" t="s">
        <v>155</v>
      </c>
      <c r="D8" s="74" t="s">
        <v>250</v>
      </c>
      <c r="E8" s="74" t="s">
        <v>253</v>
      </c>
      <c r="F8" s="74" t="s">
        <v>254</v>
      </c>
      <c r="G8" s="74" t="s">
        <v>229</v>
      </c>
    </row>
    <row r="9" spans="1:7" ht="27" x14ac:dyDescent="0.25">
      <c r="A9" s="74" t="s">
        <v>62</v>
      </c>
      <c r="B9" s="74" t="s">
        <v>255</v>
      </c>
      <c r="C9" s="74" t="s">
        <v>256</v>
      </c>
      <c r="D9" s="74" t="s">
        <v>257</v>
      </c>
      <c r="E9" s="74" t="s">
        <v>258</v>
      </c>
      <c r="F9" s="74" t="s">
        <v>259</v>
      </c>
      <c r="G9" s="74" t="s">
        <v>260</v>
      </c>
    </row>
    <row r="10" spans="1:7" ht="27" x14ac:dyDescent="0.25">
      <c r="A10" s="74" t="s">
        <v>231</v>
      </c>
      <c r="B10" s="74" t="s">
        <v>261</v>
      </c>
      <c r="C10" s="74" t="s">
        <v>165</v>
      </c>
      <c r="D10" s="74" t="s">
        <v>257</v>
      </c>
      <c r="E10" s="74" t="s">
        <v>262</v>
      </c>
      <c r="F10" s="74" t="s">
        <v>263</v>
      </c>
      <c r="G10" s="74" t="s">
        <v>169</v>
      </c>
    </row>
    <row r="11" spans="1:7" ht="27" x14ac:dyDescent="0.25">
      <c r="A11" s="74" t="s">
        <v>264</v>
      </c>
      <c r="B11" s="74" t="s">
        <v>265</v>
      </c>
      <c r="C11" s="74" t="s">
        <v>266</v>
      </c>
      <c r="D11" s="74" t="s">
        <v>267</v>
      </c>
      <c r="E11" s="74" t="s">
        <v>268</v>
      </c>
      <c r="F11" s="74" t="s">
        <v>269</v>
      </c>
      <c r="G11" s="74" t="s">
        <v>169</v>
      </c>
    </row>
    <row r="12" spans="1:7" ht="27" x14ac:dyDescent="0.25">
      <c r="A12" s="74" t="s">
        <v>8</v>
      </c>
      <c r="B12" s="74" t="s">
        <v>270</v>
      </c>
      <c r="C12" s="74" t="s">
        <v>271</v>
      </c>
      <c r="D12" s="74" t="s">
        <v>257</v>
      </c>
      <c r="E12" s="74" t="s">
        <v>272</v>
      </c>
      <c r="F12" s="74" t="s">
        <v>269</v>
      </c>
      <c r="G12" s="74" t="s">
        <v>201</v>
      </c>
    </row>
    <row r="13" spans="1:7" ht="27" x14ac:dyDescent="0.25">
      <c r="A13" s="74" t="s">
        <v>87</v>
      </c>
      <c r="B13" s="74" t="s">
        <v>273</v>
      </c>
      <c r="C13" s="74" t="s">
        <v>274</v>
      </c>
      <c r="D13" s="74" t="s">
        <v>275</v>
      </c>
      <c r="E13" s="74" t="s">
        <v>276</v>
      </c>
      <c r="F13" s="74" t="s">
        <v>277</v>
      </c>
      <c r="G13" s="74" t="s">
        <v>201</v>
      </c>
    </row>
    <row r="14" spans="1:7" ht="27" x14ac:dyDescent="0.25">
      <c r="A14" s="74" t="s">
        <v>278</v>
      </c>
      <c r="B14" s="74" t="s">
        <v>279</v>
      </c>
      <c r="C14" s="74" t="s">
        <v>280</v>
      </c>
      <c r="D14" s="74" t="s">
        <v>281</v>
      </c>
      <c r="E14" s="74" t="s">
        <v>282</v>
      </c>
      <c r="F14" s="74" t="s">
        <v>283</v>
      </c>
      <c r="G14" s="74" t="s">
        <v>181</v>
      </c>
    </row>
    <row r="15" spans="1:7" ht="40.5" x14ac:dyDescent="0.25">
      <c r="A15" s="74" t="s">
        <v>73</v>
      </c>
      <c r="B15" s="74" t="s">
        <v>284</v>
      </c>
      <c r="C15" s="74" t="s">
        <v>280</v>
      </c>
      <c r="D15" s="74" t="s">
        <v>275</v>
      </c>
      <c r="E15" s="74" t="s">
        <v>285</v>
      </c>
      <c r="F15" s="74" t="s">
        <v>286</v>
      </c>
      <c r="G15" s="74" t="s">
        <v>181</v>
      </c>
    </row>
  </sheetData>
  <mergeCells count="3">
    <mergeCell ref="A1:G2"/>
    <mergeCell ref="A3:G3"/>
    <mergeCell ref="A5:G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2157D-C2D2-4EE4-983D-E10C58D1F7BE}">
  <dimension ref="A1:H21"/>
  <sheetViews>
    <sheetView workbookViewId="0">
      <selection activeCell="F36" sqref="D36:F38"/>
    </sheetView>
  </sheetViews>
  <sheetFormatPr defaultRowHeight="15" x14ac:dyDescent="0.25"/>
  <cols>
    <col min="1" max="1" width="24" style="77" customWidth="1"/>
    <col min="2" max="2" width="36" style="77" customWidth="1"/>
    <col min="3" max="3" width="28" style="77" customWidth="1"/>
    <col min="4" max="4" width="24" style="77" customWidth="1"/>
    <col min="5" max="5" width="18" style="77" customWidth="1"/>
    <col min="6" max="6" width="30" style="77" customWidth="1"/>
    <col min="7" max="7" width="24" style="77" customWidth="1"/>
    <col min="8" max="8" width="16" style="77" customWidth="1"/>
    <col min="9" max="16384" width="9.140625" style="77"/>
  </cols>
  <sheetData>
    <row r="1" spans="1:8" x14ac:dyDescent="0.25">
      <c r="A1" s="75" t="s">
        <v>287</v>
      </c>
      <c r="B1" s="76"/>
      <c r="C1" s="76"/>
      <c r="D1" s="76"/>
      <c r="E1" s="76"/>
      <c r="F1" s="76"/>
      <c r="G1" s="76"/>
      <c r="H1" s="76"/>
    </row>
    <row r="2" spans="1:8" x14ac:dyDescent="0.25">
      <c r="A2" s="76"/>
      <c r="B2" s="76"/>
      <c r="C2" s="76"/>
      <c r="D2" s="76"/>
      <c r="E2" s="76"/>
      <c r="F2" s="76"/>
      <c r="G2" s="76"/>
      <c r="H2" s="76"/>
    </row>
    <row r="3" spans="1:8" x14ac:dyDescent="0.25">
      <c r="A3" s="78" t="s">
        <v>288</v>
      </c>
      <c r="B3" s="79"/>
      <c r="C3" s="79"/>
      <c r="D3" s="79"/>
      <c r="E3" s="79"/>
      <c r="F3" s="79"/>
      <c r="G3" s="79"/>
      <c r="H3" s="79"/>
    </row>
    <row r="5" spans="1:8" x14ac:dyDescent="0.25">
      <c r="A5" s="82" t="s">
        <v>289</v>
      </c>
      <c r="B5" s="81"/>
      <c r="C5" s="81"/>
      <c r="D5" s="81"/>
      <c r="E5" s="81"/>
      <c r="F5" s="81"/>
      <c r="G5" s="81"/>
      <c r="H5" s="81"/>
    </row>
    <row r="6" spans="1:8" x14ac:dyDescent="0.25">
      <c r="A6" s="86" t="s">
        <v>290</v>
      </c>
      <c r="B6" s="86" t="s">
        <v>291</v>
      </c>
      <c r="C6" s="86" t="s">
        <v>153</v>
      </c>
      <c r="D6" s="86" t="s">
        <v>292</v>
      </c>
      <c r="E6" s="86" t="s">
        <v>293</v>
      </c>
      <c r="F6" s="86" t="s">
        <v>294</v>
      </c>
      <c r="G6" s="86" t="s">
        <v>191</v>
      </c>
      <c r="H6" s="86" t="s">
        <v>295</v>
      </c>
    </row>
    <row r="7" spans="1:8" ht="27" x14ac:dyDescent="0.25">
      <c r="A7" s="74" t="s">
        <v>296</v>
      </c>
      <c r="B7" s="74" t="s">
        <v>297</v>
      </c>
      <c r="C7" s="74" t="s">
        <v>298</v>
      </c>
      <c r="D7" s="74" t="s">
        <v>299</v>
      </c>
      <c r="E7" s="74" t="s">
        <v>300</v>
      </c>
      <c r="F7" s="74" t="s">
        <v>301</v>
      </c>
      <c r="G7" s="74" t="s">
        <v>302</v>
      </c>
      <c r="H7" s="74" t="s">
        <v>303</v>
      </c>
    </row>
    <row r="8" spans="1:8" ht="27" x14ac:dyDescent="0.25">
      <c r="A8" s="74" t="s">
        <v>304</v>
      </c>
      <c r="B8" s="74" t="s">
        <v>305</v>
      </c>
      <c r="C8" s="74" t="s">
        <v>306</v>
      </c>
      <c r="D8" s="74" t="s">
        <v>307</v>
      </c>
      <c r="E8" s="74" t="s">
        <v>308</v>
      </c>
      <c r="F8" s="74" t="s">
        <v>309</v>
      </c>
      <c r="G8" s="74" t="s">
        <v>302</v>
      </c>
      <c r="H8" s="74" t="s">
        <v>310</v>
      </c>
    </row>
    <row r="9" spans="1:8" ht="27" x14ac:dyDescent="0.25">
      <c r="A9" s="74" t="s">
        <v>311</v>
      </c>
      <c r="B9" s="74" t="s">
        <v>312</v>
      </c>
      <c r="C9" s="74" t="s">
        <v>313</v>
      </c>
      <c r="D9" s="74" t="s">
        <v>314</v>
      </c>
      <c r="E9" s="74" t="s">
        <v>315</v>
      </c>
      <c r="F9" s="74" t="s">
        <v>316</v>
      </c>
      <c r="G9" s="74" t="s">
        <v>302</v>
      </c>
      <c r="H9" s="74" t="s">
        <v>317</v>
      </c>
    </row>
    <row r="10" spans="1:8" ht="27" x14ac:dyDescent="0.25">
      <c r="A10" s="74" t="s">
        <v>318</v>
      </c>
      <c r="B10" s="74" t="s">
        <v>319</v>
      </c>
      <c r="C10" s="74" t="s">
        <v>320</v>
      </c>
      <c r="D10" s="74" t="s">
        <v>321</v>
      </c>
      <c r="E10" s="74" t="s">
        <v>322</v>
      </c>
      <c r="F10" s="74" t="s">
        <v>323</v>
      </c>
      <c r="G10" s="74" t="s">
        <v>302</v>
      </c>
      <c r="H10" s="74" t="s">
        <v>324</v>
      </c>
    </row>
    <row r="11" spans="1:8" x14ac:dyDescent="0.25">
      <c r="A11" s="74" t="s">
        <v>325</v>
      </c>
      <c r="B11" s="74" t="s">
        <v>326</v>
      </c>
      <c r="C11" s="74" t="s">
        <v>327</v>
      </c>
      <c r="D11" s="74" t="s">
        <v>328</v>
      </c>
      <c r="E11" s="74" t="s">
        <v>329</v>
      </c>
      <c r="F11" s="74" t="s">
        <v>322</v>
      </c>
      <c r="G11" s="74" t="s">
        <v>302</v>
      </c>
      <c r="H11" s="74" t="s">
        <v>330</v>
      </c>
    </row>
    <row r="12" spans="1:8" ht="27" x14ac:dyDescent="0.25">
      <c r="A12" s="74" t="s">
        <v>331</v>
      </c>
      <c r="B12" s="74" t="s">
        <v>332</v>
      </c>
      <c r="C12" s="74" t="s">
        <v>320</v>
      </c>
      <c r="D12" s="74" t="s">
        <v>333</v>
      </c>
      <c r="E12" s="74" t="s">
        <v>334</v>
      </c>
      <c r="F12" s="74" t="s">
        <v>328</v>
      </c>
      <c r="G12" s="74" t="s">
        <v>302</v>
      </c>
      <c r="H12" s="74" t="s">
        <v>335</v>
      </c>
    </row>
    <row r="15" spans="1:8" x14ac:dyDescent="0.25">
      <c r="A15" s="82" t="s">
        <v>336</v>
      </c>
      <c r="B15" s="81"/>
      <c r="C15" s="81"/>
      <c r="D15" s="81"/>
      <c r="E15" s="81"/>
      <c r="F15" s="81"/>
      <c r="G15" s="81"/>
      <c r="H15" s="81"/>
    </row>
    <row r="16" spans="1:8" x14ac:dyDescent="0.25">
      <c r="A16" s="86" t="s">
        <v>337</v>
      </c>
      <c r="B16" s="86" t="s">
        <v>338</v>
      </c>
      <c r="C16" s="86" t="s">
        <v>339</v>
      </c>
      <c r="D16" s="86" t="s">
        <v>340</v>
      </c>
      <c r="E16" s="86" t="s">
        <v>341</v>
      </c>
      <c r="F16" s="86" t="s">
        <v>342</v>
      </c>
      <c r="G16" s="86" t="s">
        <v>343</v>
      </c>
      <c r="H16" s="86" t="s">
        <v>191</v>
      </c>
    </row>
    <row r="17" spans="1:8" x14ac:dyDescent="0.25">
      <c r="A17" s="74" t="s">
        <v>344</v>
      </c>
      <c r="B17" s="74" t="s">
        <v>345</v>
      </c>
      <c r="C17" s="74" t="s">
        <v>181</v>
      </c>
      <c r="D17" s="74" t="s">
        <v>346</v>
      </c>
      <c r="E17" s="74" t="s">
        <v>347</v>
      </c>
      <c r="F17" s="74" t="s">
        <v>348</v>
      </c>
      <c r="G17" s="74" t="s">
        <v>349</v>
      </c>
      <c r="H17" s="74" t="s">
        <v>350</v>
      </c>
    </row>
    <row r="18" spans="1:8" x14ac:dyDescent="0.25">
      <c r="A18" s="74" t="s">
        <v>351</v>
      </c>
      <c r="B18" s="74" t="s">
        <v>352</v>
      </c>
      <c r="C18" s="74" t="s">
        <v>175</v>
      </c>
      <c r="D18" s="74" t="s">
        <v>353</v>
      </c>
      <c r="E18" s="74" t="s">
        <v>354</v>
      </c>
      <c r="F18" s="74" t="s">
        <v>355</v>
      </c>
      <c r="G18" s="74" t="s">
        <v>356</v>
      </c>
      <c r="H18" s="74" t="s">
        <v>350</v>
      </c>
    </row>
    <row r="19" spans="1:8" x14ac:dyDescent="0.25">
      <c r="A19" s="74" t="s">
        <v>357</v>
      </c>
      <c r="B19" s="74" t="s">
        <v>358</v>
      </c>
      <c r="C19" s="74" t="s">
        <v>175</v>
      </c>
      <c r="D19" s="74" t="s">
        <v>359</v>
      </c>
      <c r="E19" s="74" t="s">
        <v>360</v>
      </c>
      <c r="F19" s="74" t="s">
        <v>361</v>
      </c>
      <c r="G19" s="74" t="s">
        <v>362</v>
      </c>
      <c r="H19" s="74" t="s">
        <v>350</v>
      </c>
    </row>
    <row r="20" spans="1:8" x14ac:dyDescent="0.25">
      <c r="A20" s="74" t="s">
        <v>363</v>
      </c>
      <c r="B20" s="74" t="s">
        <v>364</v>
      </c>
      <c r="C20" s="74" t="s">
        <v>201</v>
      </c>
      <c r="D20" s="74" t="s">
        <v>365</v>
      </c>
      <c r="E20" s="74" t="s">
        <v>366</v>
      </c>
      <c r="F20" s="74" t="s">
        <v>367</v>
      </c>
      <c r="G20" s="74" t="s">
        <v>368</v>
      </c>
      <c r="H20" s="74" t="s">
        <v>350</v>
      </c>
    </row>
    <row r="21" spans="1:8" x14ac:dyDescent="0.25">
      <c r="A21" s="74" t="s">
        <v>369</v>
      </c>
      <c r="B21" s="74" t="s">
        <v>370</v>
      </c>
      <c r="C21" s="74" t="s">
        <v>371</v>
      </c>
      <c r="D21" s="74" t="s">
        <v>372</v>
      </c>
      <c r="E21" s="74" t="s">
        <v>373</v>
      </c>
      <c r="F21" s="74" t="s">
        <v>374</v>
      </c>
      <c r="G21" s="74" t="s">
        <v>349</v>
      </c>
      <c r="H21" s="74" t="s">
        <v>350</v>
      </c>
    </row>
  </sheetData>
  <mergeCells count="4">
    <mergeCell ref="A1:H2"/>
    <mergeCell ref="A3:H3"/>
    <mergeCell ref="A5:H5"/>
    <mergeCell ref="A15:H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10A57-8343-4A8E-A6B0-EBDD2DAA1430}">
  <dimension ref="A1:C23"/>
  <sheetViews>
    <sheetView zoomScale="115" zoomScaleNormal="115" workbookViewId="0">
      <selection activeCell="C21" sqref="C21"/>
    </sheetView>
  </sheetViews>
  <sheetFormatPr defaultRowHeight="15" x14ac:dyDescent="0.25"/>
  <cols>
    <col min="1" max="1" width="30" style="77" customWidth="1"/>
    <col min="2" max="2" width="66" style="77" customWidth="1"/>
    <col min="3" max="3" width="38" style="77" customWidth="1"/>
    <col min="4" max="16384" width="9.140625" style="77"/>
  </cols>
  <sheetData>
    <row r="1" spans="1:3" x14ac:dyDescent="0.25">
      <c r="A1" s="75" t="s">
        <v>375</v>
      </c>
      <c r="B1" s="76"/>
      <c r="C1" s="76"/>
    </row>
    <row r="2" spans="1:3" x14ac:dyDescent="0.25">
      <c r="A2" s="76"/>
      <c r="B2" s="76"/>
      <c r="C2" s="76"/>
    </row>
    <row r="3" spans="1:3" x14ac:dyDescent="0.25">
      <c r="A3" s="78" t="s">
        <v>376</v>
      </c>
      <c r="B3" s="79"/>
      <c r="C3" s="79"/>
    </row>
    <row r="5" spans="1:3" x14ac:dyDescent="0.25">
      <c r="A5" s="82" t="s">
        <v>377</v>
      </c>
      <c r="B5" s="81"/>
      <c r="C5" s="81"/>
    </row>
    <row r="6" spans="1:3" x14ac:dyDescent="0.25">
      <c r="A6" s="85" t="s">
        <v>378</v>
      </c>
      <c r="B6" s="79"/>
      <c r="C6" s="79"/>
    </row>
    <row r="7" spans="1:3" x14ac:dyDescent="0.25">
      <c r="A7" s="79"/>
      <c r="B7" s="79"/>
      <c r="C7" s="79"/>
    </row>
    <row r="8" spans="1:3" x14ac:dyDescent="0.25">
      <c r="A8" s="79"/>
      <c r="B8" s="79"/>
      <c r="C8" s="79"/>
    </row>
    <row r="9" spans="1:3" x14ac:dyDescent="0.25">
      <c r="A9" s="79"/>
      <c r="B9" s="79"/>
      <c r="C9" s="79"/>
    </row>
    <row r="10" spans="1:3" x14ac:dyDescent="0.25">
      <c r="A10" s="79"/>
      <c r="B10" s="79"/>
      <c r="C10" s="79"/>
    </row>
    <row r="12" spans="1:3" x14ac:dyDescent="0.25">
      <c r="A12" s="82" t="s">
        <v>379</v>
      </c>
      <c r="B12" s="81"/>
      <c r="C12" s="81"/>
    </row>
    <row r="13" spans="1:3" x14ac:dyDescent="0.25">
      <c r="A13" s="80" t="s">
        <v>380</v>
      </c>
      <c r="B13" s="80" t="s">
        <v>381</v>
      </c>
      <c r="C13" s="80" t="s">
        <v>382</v>
      </c>
    </row>
    <row r="14" spans="1:3" x14ac:dyDescent="0.25">
      <c r="A14" s="74" t="s">
        <v>383</v>
      </c>
      <c r="B14" s="74" t="s">
        <v>384</v>
      </c>
      <c r="C14" s="74" t="s">
        <v>385</v>
      </c>
    </row>
    <row r="15" spans="1:3" x14ac:dyDescent="0.25">
      <c r="A15" s="74" t="s">
        <v>386</v>
      </c>
      <c r="B15" s="74" t="s">
        <v>387</v>
      </c>
      <c r="C15" s="74" t="s">
        <v>385</v>
      </c>
    </row>
    <row r="16" spans="1:3" x14ac:dyDescent="0.25">
      <c r="A16" s="74" t="s">
        <v>388</v>
      </c>
      <c r="B16" s="74" t="s">
        <v>389</v>
      </c>
      <c r="C16" s="74" t="s">
        <v>390</v>
      </c>
    </row>
    <row r="17" spans="1:3" x14ac:dyDescent="0.25">
      <c r="A17" s="74" t="s">
        <v>391</v>
      </c>
      <c r="B17" s="74" t="s">
        <v>392</v>
      </c>
      <c r="C17" s="74" t="s">
        <v>393</v>
      </c>
    </row>
    <row r="18" spans="1:3" x14ac:dyDescent="0.25">
      <c r="A18" s="74" t="s">
        <v>394</v>
      </c>
      <c r="B18" s="74" t="s">
        <v>395</v>
      </c>
      <c r="C18" s="74" t="s">
        <v>393</v>
      </c>
    </row>
    <row r="19" spans="1:3" x14ac:dyDescent="0.25">
      <c r="A19" s="74" t="s">
        <v>396</v>
      </c>
      <c r="B19" s="74" t="s">
        <v>397</v>
      </c>
      <c r="C19" s="74" t="s">
        <v>393</v>
      </c>
    </row>
    <row r="20" spans="1:3" x14ac:dyDescent="0.25">
      <c r="A20" s="74" t="s">
        <v>183</v>
      </c>
      <c r="B20" s="74" t="s">
        <v>398</v>
      </c>
      <c r="C20" s="74" t="s">
        <v>393</v>
      </c>
    </row>
    <row r="21" spans="1:3" x14ac:dyDescent="0.25">
      <c r="A21" s="74" t="s">
        <v>399</v>
      </c>
      <c r="B21" s="74" t="s">
        <v>400</v>
      </c>
      <c r="C21" s="74" t="s">
        <v>393</v>
      </c>
    </row>
    <row r="22" spans="1:3" ht="27" x14ac:dyDescent="0.25">
      <c r="A22" s="74" t="s">
        <v>401</v>
      </c>
      <c r="B22" s="74" t="s">
        <v>402</v>
      </c>
      <c r="C22" s="74" t="s">
        <v>403</v>
      </c>
    </row>
    <row r="23" spans="1:3" x14ac:dyDescent="0.25">
      <c r="A23" s="74" t="s">
        <v>404</v>
      </c>
      <c r="B23" s="74" t="s">
        <v>405</v>
      </c>
      <c r="C23" s="74" t="s">
        <v>406</v>
      </c>
    </row>
  </sheetData>
  <mergeCells count="5">
    <mergeCell ref="A1:C2"/>
    <mergeCell ref="A3:C3"/>
    <mergeCell ref="A5:C5"/>
    <mergeCell ref="A6:C10"/>
    <mergeCell ref="A12:C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Sheet5</vt:lpstr>
      <vt:lpstr>Shipments</vt:lpstr>
      <vt:lpstr>Carrier Rates</vt:lpstr>
      <vt:lpstr>Analysis</vt:lpstr>
      <vt:lpstr>Dashboard</vt:lpstr>
      <vt:lpstr>Requirements &amp; Solution Design</vt:lpstr>
      <vt:lpstr>Data Dictionary</vt:lpstr>
      <vt:lpstr>Implementation &amp; Handoff</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Bhupinder Singh</dc:creator>
  <cp:lastModifiedBy>Bhupinder Singh</cp:lastModifiedBy>
  <dcterms:created xsi:type="dcterms:W3CDTF">2026-08-19T00:29:44Z</dcterms:created>
  <dcterms:modified xsi:type="dcterms:W3CDTF">2026-08-19T09:23:39Z</dcterms:modified>
</cp:coreProperties>
</file>